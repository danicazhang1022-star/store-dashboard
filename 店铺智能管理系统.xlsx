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📦产品库" sheetId="1" state="visible" r:id="rId1"/>
    <sheet name="🧾每日销售" sheetId="2" state="visible" r:id="rId2"/>
    <sheet name="💰薪资计算" sheetId="3" state="visible" r:id="rId3"/>
    <sheet name="📊库存管理" sheetId="4" state="visible" r:id="rId4"/>
    <sheet name="📥入库记录" sheetId="5" state="visible" r:id="rId5"/>
    <sheet name="📈月度汇总" sheetId="6" state="visible" r:id="rId6"/>
    <sheet name="🚚补货导出" sheetId="7" state="visible" r:id="rId7"/>
  </sheets>
  <definedNames>
    <definedName name="_xlnm._FilterDatabase" localSheetId="0" hidden="1">'📦产品库'!$A$3:$J$280</definedName>
    <definedName name="_xlnm._FilterDatabase" localSheetId="1" hidden="1">'🧾每日销售'!$A$4:$L$4</definedName>
    <definedName name="_xlnm._FilterDatabase" localSheetId="3" hidden="1">'📊库存管理'!$A$4:$L$281</definedName>
    <definedName name="_xlnm._FilterDatabase" localSheetId="4" hidden="1">'📥入库记录'!$A$3:$H$203</definedName>
    <definedName name="_xlnm._FilterDatabase" localSheetId="6" hidden="1">'🚚补货导出'!$A$3:$L$280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¥#,##0"/>
    <numFmt numFmtId="165" formatCode="YYYY-MM-DD"/>
    <numFmt numFmtId="166" formatCode="0件"/>
    <numFmt numFmtId="167" formatCode="YYYY-MM"/>
    <numFmt numFmtId="168" formatCode="0.0%"/>
    <numFmt numFmtId="169" formatCode="MM/DD"/>
    <numFmt numFmtId="170" formatCode="¥#,##0.00"/>
  </numFmts>
  <fonts count="27">
    <font>
      <name val="Calibri"/>
      <family val="2"/>
      <color theme="1"/>
      <sz val="11"/>
      <scheme val="minor"/>
    </font>
    <font>
      <name val="Arial"/>
      <b val="1"/>
      <color rgb="FF303F9F"/>
      <sz val="13"/>
    </font>
    <font>
      <name val="Arial"/>
      <i val="1"/>
      <color rgb="FF757575"/>
      <sz val="9"/>
    </font>
    <font>
      <name val="Arial"/>
      <b val="1"/>
      <color rgb="FFFFFFFF"/>
      <sz val="10"/>
    </font>
    <font>
      <name val="Arial"/>
      <sz val="9"/>
    </font>
    <font>
      <name val="Arial"/>
      <color rgb="FF1565C0"/>
      <sz val="9"/>
      <u val="single"/>
    </font>
    <font>
      <name val="Arial"/>
      <b val="1"/>
      <color rgb="FF37474F"/>
      <sz val="10"/>
    </font>
    <font>
      <name val="Arial"/>
      <b val="1"/>
      <color rgb="FF1A237E"/>
      <sz val="10"/>
    </font>
    <font>
      <name val="Arial"/>
      <b val="1"/>
      <color rgb="FF1B5E20"/>
      <sz val="10"/>
    </font>
    <font>
      <name val="Arial"/>
      <b val="1"/>
      <color rgb="FFBF360C"/>
      <sz val="10"/>
    </font>
    <font>
      <name val="Arial"/>
      <color rgb="FF9E9E9E"/>
      <sz val="9"/>
    </font>
    <font>
      <name val="Arial"/>
      <color rgb="FF37474F"/>
      <sz val="10"/>
    </font>
    <font>
      <name val="Arial"/>
      <sz val="10"/>
    </font>
    <font>
      <name val="Arial"/>
      <color rgb="FF6A1B9A"/>
      <sz val="10"/>
    </font>
    <font>
      <name val="Arial"/>
      <b val="1"/>
      <color rgb="FFFFFFFF"/>
      <sz val="11"/>
    </font>
    <font>
      <name val="Arial"/>
      <b val="1"/>
      <color rgb="FFFFFF00"/>
      <sz val="12"/>
    </font>
    <font>
      <name val="Arial"/>
      <b val="1"/>
      <color rgb="FFBF360C"/>
      <sz val="11"/>
    </font>
    <font>
      <name val="Arial"/>
      <b val="1"/>
      <color rgb="FF37474F"/>
      <sz val="11"/>
    </font>
    <font>
      <name val="Arial"/>
      <b val="1"/>
      <sz val="10"/>
    </font>
    <font>
      <name val="Arial"/>
      <color rgb="FF37474F"/>
      <sz val="9"/>
    </font>
    <font>
      <name val="Arial"/>
      <color rgb="FF1A237E"/>
      <sz val="10"/>
    </font>
    <font>
      <name val="Arial"/>
      <b val="1"/>
      <color rgb="FF1A237E"/>
      <sz val="11"/>
    </font>
    <font>
      <name val="Arial"/>
      <b val="1"/>
      <color rgb="FF1565C0"/>
      <sz val="10"/>
    </font>
    <font>
      <name val="Arial"/>
      <color rgb="FFBF360C"/>
      <sz val="10"/>
    </font>
    <font>
      <name val="Arial"/>
      <b val="1"/>
      <color rgb="FF1A237E"/>
      <sz val="13"/>
    </font>
    <font>
      <name val="Arial"/>
      <i val="1"/>
      <color rgb="FF5D4037"/>
      <sz val="9"/>
    </font>
    <font>
      <name val="Arial"/>
      <color rgb="FF1565C0"/>
      <sz val="8"/>
      <u val="single"/>
    </font>
  </fonts>
  <fills count="20">
    <fill>
      <patternFill/>
    </fill>
    <fill>
      <patternFill patternType="gray125"/>
    </fill>
    <fill>
      <patternFill patternType="solid">
        <fgColor rgb="FFE8EAF6"/>
      </patternFill>
    </fill>
    <fill>
      <patternFill patternType="solid">
        <fgColor rgb="FFFFF8E1"/>
      </patternFill>
    </fill>
    <fill>
      <patternFill patternType="solid">
        <fgColor rgb="FF3949AB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1A237E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ECE1FD"/>
      </patternFill>
    </fill>
    <fill>
      <patternFill patternType="solid">
        <fgColor rgb="FFF3E5F5"/>
      </patternFill>
    </fill>
    <fill>
      <patternFill patternType="solid">
        <fgColor rgb="FFF8F9FA"/>
      </patternFill>
    </fill>
    <fill>
      <patternFill patternType="solid">
        <fgColor rgb="FF5C35CC"/>
      </patternFill>
    </fill>
    <fill>
      <patternFill patternType="solid">
        <fgColor rgb="FFFCE4EC"/>
      </patternFill>
    </fill>
    <fill>
      <patternFill patternType="solid">
        <fgColor rgb="FF283593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5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4" fillId="4" borderId="0" applyAlignment="1" pivotButton="0" quotePrefix="0" xfId="0">
      <alignment horizontal="center" vertical="center"/>
    </xf>
    <xf numFmtId="166" fontId="14" fillId="4" borderId="1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0" fontId="17" fillId="12" borderId="0" applyAlignment="1" pivotButton="0" quotePrefix="0" xfId="0">
      <alignment horizontal="center" vertical="center"/>
    </xf>
    <xf numFmtId="0" fontId="17" fillId="13" borderId="0" applyAlignment="1" pivotButton="0" quotePrefix="0" xfId="0">
      <alignment horizontal="center" vertical="center"/>
    </xf>
    <xf numFmtId="0" fontId="18" fillId="14" borderId="1" applyAlignment="1" pivotButton="0" quotePrefix="0" xfId="0">
      <alignment horizontal="right" vertical="center"/>
    </xf>
    <xf numFmtId="167" fontId="7" fillId="8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8" fontId="18" fillId="9" borderId="1" applyAlignment="1" pivotButton="0" quotePrefix="0" xfId="0">
      <alignment horizontal="center" vertical="center"/>
    </xf>
    <xf numFmtId="49" fontId="12" fillId="6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left" vertical="top" wrapText="1"/>
    </xf>
    <xf numFmtId="1" fontId="7" fillId="8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169" fontId="20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164" fontId="21" fillId="8" borderId="1" applyAlignment="1" pivotButton="0" quotePrefix="0" xfId="0">
      <alignment horizontal="center" vertical="center"/>
    </xf>
    <xf numFmtId="170" fontId="8" fillId="9" borderId="1" applyAlignment="1" pivotButton="0" quotePrefix="0" xfId="0">
      <alignment horizontal="center" vertical="center"/>
    </xf>
    <xf numFmtId="170" fontId="22" fillId="9" borderId="1" applyAlignment="1" pivotButton="0" quotePrefix="0" xfId="0">
      <alignment horizontal="center" vertical="center"/>
    </xf>
    <xf numFmtId="164" fontId="23" fillId="8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6" borderId="1" pivotButton="0" quotePrefix="0" xfId="0"/>
    <xf numFmtId="0" fontId="17" fillId="17" borderId="0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170" fontId="24" fillId="19" borderId="2" applyAlignment="1" pivotButton="0" quotePrefix="0" xfId="0">
      <alignment horizontal="center" vertical="center"/>
    </xf>
    <xf numFmtId="0" fontId="25" fillId="3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left" vertical="center"/>
    </xf>
    <xf numFmtId="0" fontId="4" fillId="8" borderId="1" pivotButton="0" quotePrefix="0" xfId="0"/>
    <xf numFmtId="0" fontId="26" fillId="6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g.alicdn.com/bao/uploaded/i1/2217590670593/O1CN014SZXqr1GFdzaJafbf~crop,0,57,1440,1440~_!!2217590670593.jpg" TargetMode="External" Id="rId1" /><Relationship Type="http://schemas.openxmlformats.org/officeDocument/2006/relationships/hyperlink" Target="http://item.taobao.com/item.htm?id=1025388691256" TargetMode="External" Id="rId2" /><Relationship Type="http://schemas.openxmlformats.org/officeDocument/2006/relationships/hyperlink" Target="https://img.alicdn.com/bao/uploaded/i1/2217590670593/O1CN014SZXqr1GFdzaJafbf~crop,0,57,1440,1440~_!!2217590670593.jpg" TargetMode="External" Id="rId3" /><Relationship Type="http://schemas.openxmlformats.org/officeDocument/2006/relationships/hyperlink" Target="http://item.taobao.com/item.htm?id=1025388691256" TargetMode="External" Id="rId4" /><Relationship Type="http://schemas.openxmlformats.org/officeDocument/2006/relationships/hyperlink" Target="https://img.alicdn.com/bao/uploaded/i1/2217590670593/O1CN014SZXqr1GFdzaJafbf~crop,0,57,1440,1440~_!!2217590670593.jpg" TargetMode="External" Id="rId5" /><Relationship Type="http://schemas.openxmlformats.org/officeDocument/2006/relationships/hyperlink" Target="http://item.taobao.com/item.htm?id=1025388691256" TargetMode="External" Id="rId6" /><Relationship Type="http://schemas.openxmlformats.org/officeDocument/2006/relationships/hyperlink" Target="https://img.alicdn.com/bao/uploaded/i3/2217590670593/O1CN013VOeEz1GFdzbUPeAA~crop,0,240,1440,1440~_!!2217590670593.jpg" TargetMode="External" Id="rId7" /><Relationship Type="http://schemas.openxmlformats.org/officeDocument/2006/relationships/hyperlink" Target="http://item.taobao.com/item.htm?id=1026753508485" TargetMode="External" Id="rId8" /><Relationship Type="http://schemas.openxmlformats.org/officeDocument/2006/relationships/hyperlink" Target="https://img.alicdn.com/bao/uploaded/i3/2217590670593/O1CN013VOeEz1GFdzbUPeAA~crop,0,240,1440,1440~_!!2217590670593.jpg" TargetMode="External" Id="rId9" /><Relationship Type="http://schemas.openxmlformats.org/officeDocument/2006/relationships/hyperlink" Target="http://item.taobao.com/item.htm?id=1026753508485" TargetMode="External" Id="rId10" /><Relationship Type="http://schemas.openxmlformats.org/officeDocument/2006/relationships/hyperlink" Target="https://img.alicdn.com/bao/uploaded/i2/2217590670593/O1CN01xgSwHZ1GFdzaMGyRv~crop,0,240,1440,1440~_!!2217590670593.jpg" TargetMode="External" Id="rId11" /><Relationship Type="http://schemas.openxmlformats.org/officeDocument/2006/relationships/hyperlink" Target="http://item.taobao.com/item.htm?id=1024384959107" TargetMode="External" Id="rId12" /><Relationship Type="http://schemas.openxmlformats.org/officeDocument/2006/relationships/hyperlink" Target="https://img.alicdn.com/bao/uploaded/i2/2217590670593/O1CN01CHDMQM1GFdzZvCfJO~crop,0,240,1440,1440~_!!2217590670593.jpg" TargetMode="External" Id="rId13" /><Relationship Type="http://schemas.openxmlformats.org/officeDocument/2006/relationships/hyperlink" Target="http://item.taobao.com/item.htm?id=1024384959107" TargetMode="External" Id="rId14" /><Relationship Type="http://schemas.openxmlformats.org/officeDocument/2006/relationships/hyperlink" Target="https://img.alicdn.com/bao/uploaded/i2/2217590670593/O1CN01xgSwHZ1GFdzaMGyRv~crop,0,240,1440,1440~_!!2217590670593.jpg" TargetMode="External" Id="rId15" /><Relationship Type="http://schemas.openxmlformats.org/officeDocument/2006/relationships/hyperlink" Target="http://item.taobao.com/item.htm?id=1024384959107" TargetMode="External" Id="rId16" /><Relationship Type="http://schemas.openxmlformats.org/officeDocument/2006/relationships/hyperlink" Target="https://img.alicdn.com/bao/uploaded/i2/2217590670593/O1CN01CHDMQM1GFdzZvCfJO~crop,0,240,1440,1440~_!!2217590670593.jpg" TargetMode="External" Id="rId17" /><Relationship Type="http://schemas.openxmlformats.org/officeDocument/2006/relationships/hyperlink" Target="http://item.taobao.com/item.htm?id=1024384959107" TargetMode="External" Id="rId18" /><Relationship Type="http://schemas.openxmlformats.org/officeDocument/2006/relationships/hyperlink" Target="https://img.alicdn.com/bao/uploaded/i3/2217590670593/O1CN01o0MRbu1GFdza9nw57~crop,0,240,1440,1440~_!!2217590670593.jpg" TargetMode="External" Id="rId19" /><Relationship Type="http://schemas.openxmlformats.org/officeDocument/2006/relationships/hyperlink" Target="http://item.taobao.com/item.htm?id=1026750680382" TargetMode="External" Id="rId20" /><Relationship Type="http://schemas.openxmlformats.org/officeDocument/2006/relationships/hyperlink" Target="https://img.alicdn.com/bao/uploaded/i3/2217590670593/O1CN01o0MRbu1GFdza9nw57~crop,0,240,1440,1440~_!!2217590670593.jpg" TargetMode="External" Id="rId21" /><Relationship Type="http://schemas.openxmlformats.org/officeDocument/2006/relationships/hyperlink" Target="http://item.taobao.com/item.htm?id=1026750680382" TargetMode="External" Id="rId22" /><Relationship Type="http://schemas.openxmlformats.org/officeDocument/2006/relationships/hyperlink" Target="https://img.alicdn.com/bao/uploaded/i4/2217590670593/O1CN01oHujxO1GFdzZY3erp~crop,0,240,1440,1440~_!!2217590670593.jpg" TargetMode="External" Id="rId23" /><Relationship Type="http://schemas.openxmlformats.org/officeDocument/2006/relationships/hyperlink" Target="http://item.taobao.com/item.htm?id=1024381439350" TargetMode="External" Id="rId24" /><Relationship Type="http://schemas.openxmlformats.org/officeDocument/2006/relationships/hyperlink" Target="https://img.alicdn.com/bao/uploaded/i4/2217590670593/O1CN01oHujxO1GFdzZY3erp~crop,0,240,1440,1440~_!!2217590670593.jpg" TargetMode="External" Id="rId25" /><Relationship Type="http://schemas.openxmlformats.org/officeDocument/2006/relationships/hyperlink" Target="http://item.taobao.com/item.htm?id=1024381439350" TargetMode="External" Id="rId26" /><Relationship Type="http://schemas.openxmlformats.org/officeDocument/2006/relationships/hyperlink" Target="https://img.alicdn.com/bao/uploaded/i1/2217590670593/O1CN01Zq2rL21GFdzYTEnrj~crop,0,240,1440,1440~_!!2217590670593.jpg" TargetMode="External" Id="rId27" /><Relationship Type="http://schemas.openxmlformats.org/officeDocument/2006/relationships/hyperlink" Target="http://item.taobao.com/item.htm?id=1024373327582" TargetMode="External" Id="rId28" /><Relationship Type="http://schemas.openxmlformats.org/officeDocument/2006/relationships/hyperlink" Target="https://img.alicdn.com/bao/uploaded/i1/2217590670593/O1CN01Zq2rL21GFdzYTEnrj~crop,0,240,1440,1440~_!!2217590670593.jpg" TargetMode="External" Id="rId29" /><Relationship Type="http://schemas.openxmlformats.org/officeDocument/2006/relationships/hyperlink" Target="http://item.taobao.com/item.htm?id=1024373327582" TargetMode="External" Id="rId30" /><Relationship Type="http://schemas.openxmlformats.org/officeDocument/2006/relationships/hyperlink" Target="https://img.alicdn.com/bao/uploaded/i2/2217590670593/O1CN01WXGH4F1GFdzZfAj0W~crop,0,240,1440,1440~_!!2217590670593.jpg" TargetMode="External" Id="rId31" /><Relationship Type="http://schemas.openxmlformats.org/officeDocument/2006/relationships/hyperlink" Target="http://item.taobao.com/item.htm?id=1024371015636" TargetMode="External" Id="rId32" /><Relationship Type="http://schemas.openxmlformats.org/officeDocument/2006/relationships/hyperlink" Target="https://img.alicdn.com/bao/uploaded/i3/2217590670593/O1CN01L1894W1GFdzY9x5hR~crop,0,272,1440,1440~_!!2217590670593.jpg" TargetMode="External" Id="rId33" /><Relationship Type="http://schemas.openxmlformats.org/officeDocument/2006/relationships/hyperlink" Target="http://item.taobao.com/item.htm?id=1024371015636" TargetMode="External" Id="rId34" /><Relationship Type="http://schemas.openxmlformats.org/officeDocument/2006/relationships/hyperlink" Target="https://img.alicdn.com/bao/uploaded/i2/2217590670593/O1CN01WXGH4F1GFdzZfAj0W~crop,0,240,1440,1440~_!!2217590670593.jpg" TargetMode="External" Id="rId35" /><Relationship Type="http://schemas.openxmlformats.org/officeDocument/2006/relationships/hyperlink" Target="http://item.taobao.com/item.htm?id=1024371015636" TargetMode="External" Id="rId36" /><Relationship Type="http://schemas.openxmlformats.org/officeDocument/2006/relationships/hyperlink" Target="https://img.alicdn.com/bao/uploaded/i3/2217590670593/O1CN01L1894W1GFdzY9x5hR~crop,0,272,1440,1440~_!!2217590670593.jpg" TargetMode="External" Id="rId37" /><Relationship Type="http://schemas.openxmlformats.org/officeDocument/2006/relationships/hyperlink" Target="http://item.taobao.com/item.htm?id=1024371015636" TargetMode="External" Id="rId38" /><Relationship Type="http://schemas.openxmlformats.org/officeDocument/2006/relationships/hyperlink" Target="https://img.alicdn.com/bao/uploaded/i3/2217590670593/O1CN016nYahe1GFdzT5lPPd~crop,0,240,1440,1440~_!!2217590670593.jpg" TargetMode="External" Id="rId39" /><Relationship Type="http://schemas.openxmlformats.org/officeDocument/2006/relationships/hyperlink" Target="http://item.taobao.com/item.htm?id=1026736412662" TargetMode="External" Id="rId40" /><Relationship Type="http://schemas.openxmlformats.org/officeDocument/2006/relationships/hyperlink" Target="https://img.alicdn.com/bao/uploaded/i3/2217590670593/O1CN016nYahe1GFdzT5lPPd~crop,0,240,1440,1440~_!!2217590670593.jpg" TargetMode="External" Id="rId41" /><Relationship Type="http://schemas.openxmlformats.org/officeDocument/2006/relationships/hyperlink" Target="http://item.taobao.com/item.htm?id=1026736412662" TargetMode="External" Id="rId42" /><Relationship Type="http://schemas.openxmlformats.org/officeDocument/2006/relationships/hyperlink" Target="https://img.alicdn.com/bao/uploaded/i4/2217590670593/O1CN01h73obi1GFdzY9wUH1~crop,0,240,1440,1440~_!!2217590670593.jpg" TargetMode="External" Id="rId43" /><Relationship Type="http://schemas.openxmlformats.org/officeDocument/2006/relationships/hyperlink" Target="http://item.taobao.com/item.htm?id=1024366819940" TargetMode="External" Id="rId44" /><Relationship Type="http://schemas.openxmlformats.org/officeDocument/2006/relationships/hyperlink" Target="https://img.alicdn.com/bao/uploaded/i4/2217590670593/O1CN01h73obi1GFdzY9wUH1~crop,0,240,1440,1440~_!!2217590670593.jpg" TargetMode="External" Id="rId45" /><Relationship Type="http://schemas.openxmlformats.org/officeDocument/2006/relationships/hyperlink" Target="http://item.taobao.com/item.htm?id=1024366819940" TargetMode="External" Id="rId46" /><Relationship Type="http://schemas.openxmlformats.org/officeDocument/2006/relationships/hyperlink" Target="https://img.alicdn.com/bao/uploaded/i3/2217590670593/O1CN017tTbD11GFdza9VsTd_!!2217590670593.jpg" TargetMode="External" Id="rId47" /><Relationship Type="http://schemas.openxmlformats.org/officeDocument/2006/relationships/hyperlink" Target="http://item.taobao.com/item.htm?id=1024365051941" TargetMode="External" Id="rId48" /><Relationship Type="http://schemas.openxmlformats.org/officeDocument/2006/relationships/hyperlink" Target="https://img.alicdn.com/bao/uploaded/i1/2217590670593/O1CN01UbZdB11GFdzY9yIY0_!!2217590670593.jpg" TargetMode="External" Id="rId49" /><Relationship Type="http://schemas.openxmlformats.org/officeDocument/2006/relationships/hyperlink" Target="http://item.taobao.com/item.htm?id=1024365051941" TargetMode="External" Id="rId50" /><Relationship Type="http://schemas.openxmlformats.org/officeDocument/2006/relationships/hyperlink" Target="https://img.alicdn.com/bao/uploaded/i3/2217590670593/O1CN017tTbD11GFdza9VsTd_!!2217590670593.jpg" TargetMode="External" Id="rId51" /><Relationship Type="http://schemas.openxmlformats.org/officeDocument/2006/relationships/hyperlink" Target="http://item.taobao.com/item.htm?id=1024365051941" TargetMode="External" Id="rId52" /><Relationship Type="http://schemas.openxmlformats.org/officeDocument/2006/relationships/hyperlink" Target="https://img.alicdn.com/bao/uploaded/i1/2217590670593/O1CN01UbZdB11GFdzY9yIY0_!!2217590670593.jpg" TargetMode="External" Id="rId53" /><Relationship Type="http://schemas.openxmlformats.org/officeDocument/2006/relationships/hyperlink" Target="http://item.taobao.com/item.htm?id=1024365051941" TargetMode="External" Id="rId54" /><Relationship Type="http://schemas.openxmlformats.org/officeDocument/2006/relationships/hyperlink" Target="https://img.alicdn.com/bao/uploaded/i3/2217590670593/O1CN01FYMQjf1GFdzaHLzdh~crop,0,240,1440,1440~_!!2217590670593.jpg" TargetMode="External" Id="rId55" /><Relationship Type="http://schemas.openxmlformats.org/officeDocument/2006/relationships/hyperlink" Target="http://item.taobao.com/item.htm?id=1024363191729" TargetMode="External" Id="rId56" /><Relationship Type="http://schemas.openxmlformats.org/officeDocument/2006/relationships/hyperlink" Target="https://img.alicdn.com/bao/uploaded/i2/2217590670593/O1CN01DvvU2M1GFdza9VsSV~crop,0,240,1440,1440~_!!2217590670593.jpg" TargetMode="External" Id="rId57" /><Relationship Type="http://schemas.openxmlformats.org/officeDocument/2006/relationships/hyperlink" Target="http://item.taobao.com/item.htm?id=1024363191729" TargetMode="External" Id="rId58" /><Relationship Type="http://schemas.openxmlformats.org/officeDocument/2006/relationships/hyperlink" Target="https://img.alicdn.com/bao/uploaded/i3/2217590670593/O1CN01FYMQjf1GFdzaHLzdh~crop,0,240,1440,1440~_!!2217590670593.jpg" TargetMode="External" Id="rId59" /><Relationship Type="http://schemas.openxmlformats.org/officeDocument/2006/relationships/hyperlink" Target="http://item.taobao.com/item.htm?id=1024363191729" TargetMode="External" Id="rId60" /><Relationship Type="http://schemas.openxmlformats.org/officeDocument/2006/relationships/hyperlink" Target="https://img.alicdn.com/bao/uploaded/i2/2217590670593/O1CN01DvvU2M1GFdza9VsSV~crop,0,240,1440,1440~_!!2217590670593.jpg" TargetMode="External" Id="rId61" /><Relationship Type="http://schemas.openxmlformats.org/officeDocument/2006/relationships/hyperlink" Target="http://item.taobao.com/item.htm?id=1024363191729" TargetMode="External" Id="rId62" /><Relationship Type="http://schemas.openxmlformats.org/officeDocument/2006/relationships/hyperlink" Target="https://img.alicdn.com/bao/uploaded/i2/2217590670593/O1CN01HkMjGd1GFdxr0siAz_!!2217590670593.jpg" TargetMode="External" Id="rId63" /><Relationship Type="http://schemas.openxmlformats.org/officeDocument/2006/relationships/hyperlink" Target="http://item.taobao.com/item.htm?id=985767514526" TargetMode="External" Id="rId64" /><Relationship Type="http://schemas.openxmlformats.org/officeDocument/2006/relationships/hyperlink" Target="https://img.alicdn.com/bao/uploaded/i3/2217590670593/O1CN015vimVE1GFdxqYS9dc_!!2217590670593.jpg" TargetMode="External" Id="rId65" /><Relationship Type="http://schemas.openxmlformats.org/officeDocument/2006/relationships/hyperlink" Target="http://item.taobao.com/item.htm?id=985767514526" TargetMode="External" Id="rId66" /><Relationship Type="http://schemas.openxmlformats.org/officeDocument/2006/relationships/hyperlink" Target="https://img.alicdn.com/bao/uploaded/i4/2217590670593/O1CN01vkJdAW1GFdxnu1spI_!!2217590670593.jpg" TargetMode="External" Id="rId67" /><Relationship Type="http://schemas.openxmlformats.org/officeDocument/2006/relationships/hyperlink" Target="http://item.taobao.com/item.htm?id=986303283276" TargetMode="External" Id="rId68" /><Relationship Type="http://schemas.openxmlformats.org/officeDocument/2006/relationships/hyperlink" Target="https://img.alicdn.com/bao/uploaded/i4/2217590670593/O1CN01vkJdAW1GFdxnu1spI_!!2217590670593.jpg" TargetMode="External" Id="rId69" /><Relationship Type="http://schemas.openxmlformats.org/officeDocument/2006/relationships/hyperlink" Target="http://item.taobao.com/item.htm?id=986303283276" TargetMode="External" Id="rId70" /><Relationship Type="http://schemas.openxmlformats.org/officeDocument/2006/relationships/hyperlink" Target="https://img.alicdn.com/bao/uploaded/i4/2217590670593/O1CN01vkJdAW1GFdxnu1spI_!!2217590670593.jpg" TargetMode="External" Id="rId71" /><Relationship Type="http://schemas.openxmlformats.org/officeDocument/2006/relationships/hyperlink" Target="http://item.taobao.com/item.htm?id=986303283276" TargetMode="External" Id="rId72" /><Relationship Type="http://schemas.openxmlformats.org/officeDocument/2006/relationships/hyperlink" Target="https://img.alicdn.com/bao/uploaded/i2/2217590670593/O1CN0156NeXW1GFdxtsQrA6_!!2217590670593.jpg" TargetMode="External" Id="rId73" /><Relationship Type="http://schemas.openxmlformats.org/officeDocument/2006/relationships/hyperlink" Target="http://item.taobao.com/item.htm?id=986303283276" TargetMode="External" Id="rId74" /><Relationship Type="http://schemas.openxmlformats.org/officeDocument/2006/relationships/hyperlink" Target="https://img.alicdn.com/bao/uploaded/i2/2217590670593/O1CN0156NeXW1GFdxtsQrA6_!!2217590670593.jpg" TargetMode="External" Id="rId75" /><Relationship Type="http://schemas.openxmlformats.org/officeDocument/2006/relationships/hyperlink" Target="http://item.taobao.com/item.htm?id=986303283276" TargetMode="External" Id="rId76" /><Relationship Type="http://schemas.openxmlformats.org/officeDocument/2006/relationships/hyperlink" Target="https://img.alicdn.com/bao/uploaded/i2/2217590670593/O1CN0156NeXW1GFdxtsQrA6_!!2217590670593.jpg" TargetMode="External" Id="rId77" /><Relationship Type="http://schemas.openxmlformats.org/officeDocument/2006/relationships/hyperlink" Target="http://item.taobao.com/item.htm?id=986303283276" TargetMode="External" Id="rId78" /><Relationship Type="http://schemas.openxmlformats.org/officeDocument/2006/relationships/hyperlink" Target="https://img.alicdn.com/bao/uploaded/i2/2217590670593/O1CN01X0OYkB1GFdxtQI9X2_!!2217590670593.jpg" TargetMode="External" Id="rId79" /><Relationship Type="http://schemas.openxmlformats.org/officeDocument/2006/relationships/hyperlink" Target="http://item.taobao.com/item.htm?id=988287960500" TargetMode="External" Id="rId80" /><Relationship Type="http://schemas.openxmlformats.org/officeDocument/2006/relationships/hyperlink" Target="https://img.alicdn.com/bao/uploaded/i2/2217590670593/O1CN01X0OYkB1GFdxtQI9X2_!!2217590670593.jpg" TargetMode="External" Id="rId81" /><Relationship Type="http://schemas.openxmlformats.org/officeDocument/2006/relationships/hyperlink" Target="http://item.taobao.com/item.htm?id=988287960500" TargetMode="External" Id="rId82" /><Relationship Type="http://schemas.openxmlformats.org/officeDocument/2006/relationships/hyperlink" Target="https://img.alicdn.com/bao/uploaded/i2/2217590670593/O1CN01LEwkCd1GFdxuLUYPe_!!2217590670593.jpg" TargetMode="External" Id="rId83" /><Relationship Type="http://schemas.openxmlformats.org/officeDocument/2006/relationships/hyperlink" Target="http://item.taobao.com/item.htm?id=986853650174" TargetMode="External" Id="rId84" /><Relationship Type="http://schemas.openxmlformats.org/officeDocument/2006/relationships/hyperlink" Target="https://img.alicdn.com/bao/uploaded/i2/2217590670593/O1CN01LEwkCd1GFdxuLUYPe_!!2217590670593.jpg" TargetMode="External" Id="rId85" /><Relationship Type="http://schemas.openxmlformats.org/officeDocument/2006/relationships/hyperlink" Target="http://item.taobao.com/item.htm?id=986853650174" TargetMode="External" Id="rId86" /><Relationship Type="http://schemas.openxmlformats.org/officeDocument/2006/relationships/hyperlink" Target="https://img.alicdn.com/bao/uploaded/i4/2217590670593/O1CN01UQDPoQ1GFdyf8q7gg_!!2217590670593.jpg" TargetMode="External" Id="rId87" /><Relationship Type="http://schemas.openxmlformats.org/officeDocument/2006/relationships/hyperlink" Target="http://item.taobao.com/item.htm?id=986853650174" TargetMode="External" Id="rId88" /><Relationship Type="http://schemas.openxmlformats.org/officeDocument/2006/relationships/hyperlink" Target="https://img.alicdn.com/bao/uploaded/i4/2217590670593/O1CN01UQDPoQ1GFdyf8q7gg_!!2217590670593.jpg" TargetMode="External" Id="rId89" /><Relationship Type="http://schemas.openxmlformats.org/officeDocument/2006/relationships/hyperlink" Target="http://item.taobao.com/item.htm?id=986853650174" TargetMode="External" Id="rId90" /><Relationship Type="http://schemas.openxmlformats.org/officeDocument/2006/relationships/hyperlink" Target="https://img.alicdn.com/bao/uploaded/i3/2217590670593/O1CN01724Z3D1GFdxodGxy2_!!2217590670593.jpg" TargetMode="External" Id="rId91" /><Relationship Type="http://schemas.openxmlformats.org/officeDocument/2006/relationships/hyperlink" Target="http://item.taobao.com/item.htm?id=986514297211" TargetMode="External" Id="rId92" /><Relationship Type="http://schemas.openxmlformats.org/officeDocument/2006/relationships/hyperlink" Target="https://img.alicdn.com/bao/uploaded/i3/2217590670593/O1CN01724Z3D1GFdxodGxy2_!!2217590670593.jpg" TargetMode="External" Id="rId93" /><Relationship Type="http://schemas.openxmlformats.org/officeDocument/2006/relationships/hyperlink" Target="http://item.taobao.com/item.htm?id=986514297211" TargetMode="External" Id="rId94" /><Relationship Type="http://schemas.openxmlformats.org/officeDocument/2006/relationships/hyperlink" Target="https://img.alicdn.com/bao/uploaded/i2/2217590670593/O1CN01HkMjGd1GFdxr0siAz_!!2217590670593.jpg" TargetMode="External" Id="rId95" /><Relationship Type="http://schemas.openxmlformats.org/officeDocument/2006/relationships/hyperlink" Target="http://item.taobao.com/item.htm?id=985767514526" TargetMode="External" Id="rId96" /><Relationship Type="http://schemas.openxmlformats.org/officeDocument/2006/relationships/hyperlink" Target="https://img.alicdn.com/bao/uploaded/i3/2217590670593/O1CN015vimVE1GFdxqYS9dc_!!2217590670593.jpg" TargetMode="External" Id="rId97" /><Relationship Type="http://schemas.openxmlformats.org/officeDocument/2006/relationships/hyperlink" Target="http://item.taobao.com/item.htm?id=985767514526" TargetMode="External" Id="rId98" /><Relationship Type="http://schemas.openxmlformats.org/officeDocument/2006/relationships/hyperlink" Target="https://img.alicdn.com/bao/uploaded/i2/2217590670593/O1CN01HkMjGd1GFdxr0siAz_!!2217590670593.jpg" TargetMode="External" Id="rId99" /><Relationship Type="http://schemas.openxmlformats.org/officeDocument/2006/relationships/hyperlink" Target="http://item.taobao.com/item.htm?id=985767514526" TargetMode="External" Id="rId100" /><Relationship Type="http://schemas.openxmlformats.org/officeDocument/2006/relationships/hyperlink" Target="https://img.alicdn.com/bao/uploaded/i3/2217590670593/O1CN015vimVE1GFdxqYS9dc_!!2217590670593.jpg" TargetMode="External" Id="rId101" /><Relationship Type="http://schemas.openxmlformats.org/officeDocument/2006/relationships/hyperlink" Target="http://item.taobao.com/item.htm?id=985767514526" TargetMode="External" Id="rId102" /><Relationship Type="http://schemas.openxmlformats.org/officeDocument/2006/relationships/hyperlink" Target="https://img.alicdn.com/bao/uploaded/i4/2217590670593/O1CN01wJcGZl1GFdsW6QPHZ_!!2217590670593.jpg" TargetMode="External" Id="rId103" /><Relationship Type="http://schemas.openxmlformats.org/officeDocument/2006/relationships/hyperlink" Target="http://item.taobao.com/item.htm?id=987004464285" TargetMode="External" Id="rId104" /><Relationship Type="http://schemas.openxmlformats.org/officeDocument/2006/relationships/hyperlink" Target="https://img.alicdn.com/bao/uploaded/i4/2217590670593/O1CN01wJcGZl1GFdsW6QPHZ_!!2217590670593.jpg" TargetMode="External" Id="rId105" /><Relationship Type="http://schemas.openxmlformats.org/officeDocument/2006/relationships/hyperlink" Target="http://item.taobao.com/item.htm?id=987004464285" TargetMode="External" Id="rId106" /><Relationship Type="http://schemas.openxmlformats.org/officeDocument/2006/relationships/hyperlink" Target="https://img.alicdn.com/bao/uploaded/i4/2217590670593/O1CN01NruOcS1GFdxuGZa9y_!!2217590670593.jpg" TargetMode="External" Id="rId107" /><Relationship Type="http://schemas.openxmlformats.org/officeDocument/2006/relationships/hyperlink" Target="http://item.taobao.com/item.htm?id=987004464285" TargetMode="External" Id="rId108" /><Relationship Type="http://schemas.openxmlformats.org/officeDocument/2006/relationships/hyperlink" Target="https://img.alicdn.com/bao/uploaded/i4/2217590670593/O1CN01NruOcS1GFdxuGZa9y_!!2217590670593.jpg" TargetMode="External" Id="rId109" /><Relationship Type="http://schemas.openxmlformats.org/officeDocument/2006/relationships/hyperlink" Target="http://item.taobao.com/item.htm?id=987004464285" TargetMode="External" Id="rId110" /><Relationship Type="http://schemas.openxmlformats.org/officeDocument/2006/relationships/hyperlink" Target="https://img.alicdn.com/bao/uploaded/i3/2217590670593/O1CN01XhsTNh1GFdxo6hI1k_!!2217590670593.jpg" TargetMode="External" Id="rId111" /><Relationship Type="http://schemas.openxmlformats.org/officeDocument/2006/relationships/hyperlink" Target="http://item.taobao.com/item.htm?id=986262689553" TargetMode="External" Id="rId112" /><Relationship Type="http://schemas.openxmlformats.org/officeDocument/2006/relationships/hyperlink" Target="https://img.alicdn.com/bao/uploaded/i3/2217590670593/O1CN01i4vC8Q1GFdxpQ8ynz_!!2217590670593.jpg" TargetMode="External" Id="rId113" /><Relationship Type="http://schemas.openxmlformats.org/officeDocument/2006/relationships/hyperlink" Target="http://item.taobao.com/item.htm?id=986262689553" TargetMode="External" Id="rId114" /><Relationship Type="http://schemas.openxmlformats.org/officeDocument/2006/relationships/hyperlink" Target="https://img.alicdn.com/bao/uploaded/i3/2217590670593/O1CN01XhsTNh1GFdxo6hI1k_!!2217590670593.jpg" TargetMode="External" Id="rId115" /><Relationship Type="http://schemas.openxmlformats.org/officeDocument/2006/relationships/hyperlink" Target="http://item.taobao.com/item.htm?id=986262689553" TargetMode="External" Id="rId116" /><Relationship Type="http://schemas.openxmlformats.org/officeDocument/2006/relationships/hyperlink" Target="https://img.alicdn.com/bao/uploaded/i3/2217590670593/O1CN01i4vC8Q1GFdxpQ8ynz_!!2217590670593.jpg" TargetMode="External" Id="rId117" /><Relationship Type="http://schemas.openxmlformats.org/officeDocument/2006/relationships/hyperlink" Target="http://item.taobao.com/item.htm?id=986262689553" TargetMode="External" Id="rId118" /><Relationship Type="http://schemas.openxmlformats.org/officeDocument/2006/relationships/hyperlink" Target="https://img.alicdn.com/bao/uploaded/i2/2217590670593/O1CN01BCWHxV1GFdxpKku1t_!!2217590670593.jpg" TargetMode="External" Id="rId119" /><Relationship Type="http://schemas.openxmlformats.org/officeDocument/2006/relationships/hyperlink" Target="http://item.taobao.com/item.htm?id=985549314110" TargetMode="External" Id="rId120" /><Relationship Type="http://schemas.openxmlformats.org/officeDocument/2006/relationships/hyperlink" Target="https://img.alicdn.com/bao/uploaded/i2/2217590670593/O1CN01BCWHxV1GFdxpKku1t_!!2217590670593.jpg" TargetMode="External" Id="rId121" /><Relationship Type="http://schemas.openxmlformats.org/officeDocument/2006/relationships/hyperlink" Target="http://item.taobao.com/item.htm?id=985549314110" TargetMode="External" Id="rId122" /><Relationship Type="http://schemas.openxmlformats.org/officeDocument/2006/relationships/hyperlink" Target="https://img.alicdn.com/bao/uploaded/i3/2217590670593/O1CN01GHGMes1GFdyL84IxU_!!2217590670593.jpg" TargetMode="External" Id="rId123" /><Relationship Type="http://schemas.openxmlformats.org/officeDocument/2006/relationships/hyperlink" Target="http://item.taobao.com/item.htm?id=978171353149" TargetMode="External" Id="rId124" /><Relationship Type="http://schemas.openxmlformats.org/officeDocument/2006/relationships/hyperlink" Target="https://img.alicdn.com/bao/uploaded/i3/2217590670593/O1CN01GHGMes1GFdyL84IxU_!!2217590670593.jpg" TargetMode="External" Id="rId125" /><Relationship Type="http://schemas.openxmlformats.org/officeDocument/2006/relationships/hyperlink" Target="http://item.taobao.com/item.htm?id=978171353149" TargetMode="External" Id="rId126" /><Relationship Type="http://schemas.openxmlformats.org/officeDocument/2006/relationships/hyperlink" Target="https://img.alicdn.com/bao/uploaded/i3/2217590670593/O1CN01Womm751GFdyKz1kKk_!!2217590670593.jpg" TargetMode="External" Id="rId127" /><Relationship Type="http://schemas.openxmlformats.org/officeDocument/2006/relationships/hyperlink" Target="http://item.taobao.com/item.htm?id=977445818976" TargetMode="External" Id="rId128" /><Relationship Type="http://schemas.openxmlformats.org/officeDocument/2006/relationships/hyperlink" Target="https://img.alicdn.com/bao/uploaded/i3/2217590670593/O1CN01Womm751GFdyKz1kKk_!!2217590670593.jpg" TargetMode="External" Id="rId129" /><Relationship Type="http://schemas.openxmlformats.org/officeDocument/2006/relationships/hyperlink" Target="http://item.taobao.com/item.htm?id=977445818976" TargetMode="External" Id="rId130" /><Relationship Type="http://schemas.openxmlformats.org/officeDocument/2006/relationships/hyperlink" Target="https://img.alicdn.com/bao/uploaded/i2/2217590670593/O1CN01SEVO7y1GFdxQhadvN_!!2217590670593.jpg" TargetMode="External" Id="rId131" /><Relationship Type="http://schemas.openxmlformats.org/officeDocument/2006/relationships/hyperlink" Target="http://item.taobao.com/item.htm?id=976915275755" TargetMode="External" Id="rId132" /><Relationship Type="http://schemas.openxmlformats.org/officeDocument/2006/relationships/hyperlink" Target="https://img.alicdn.com/bao/uploaded/i2/2217590670593/O1CN01SEVO7y1GFdxQhadvN_!!2217590670593.jpg" TargetMode="External" Id="rId133" /><Relationship Type="http://schemas.openxmlformats.org/officeDocument/2006/relationships/hyperlink" Target="http://item.taobao.com/item.htm?id=976915275755" TargetMode="External" Id="rId134" /><Relationship Type="http://schemas.openxmlformats.org/officeDocument/2006/relationships/hyperlink" Target="https://img.alicdn.com/bao/uploaded/i3/2217590670593/O1CN01Y2FkAx1GFdyLoBGdT_!!2217590670593.jpg" TargetMode="External" Id="rId135" /><Relationship Type="http://schemas.openxmlformats.org/officeDocument/2006/relationships/hyperlink" Target="http://item.taobao.com/item.htm?id=978806752833" TargetMode="External" Id="rId136" /><Relationship Type="http://schemas.openxmlformats.org/officeDocument/2006/relationships/hyperlink" Target="https://img.alicdn.com/bao/uploaded/i3/2217590670593/O1CN01Y2FkAx1GFdyLoBGdT_!!2217590670593.jpg" TargetMode="External" Id="rId137" /><Relationship Type="http://schemas.openxmlformats.org/officeDocument/2006/relationships/hyperlink" Target="http://item.taobao.com/item.htm?id=978806752833" TargetMode="External" Id="rId138" /><Relationship Type="http://schemas.openxmlformats.org/officeDocument/2006/relationships/hyperlink" Target="https://img.alicdn.com/bao/uploaded/i4/2217590670593/O1CN01iGs4Ko1GFdxS4uOcR_!!2217590670593.jpg" TargetMode="External" Id="rId139" /><Relationship Type="http://schemas.openxmlformats.org/officeDocument/2006/relationships/hyperlink" Target="http://item.taobao.com/item.htm?id=977412926516" TargetMode="External" Id="rId140" /><Relationship Type="http://schemas.openxmlformats.org/officeDocument/2006/relationships/hyperlink" Target="https://img.alicdn.com/bao/uploaded/i4/2217590670593/O1CN01iGs4Ko1GFdxS4uOcR_!!2217590670593.jpg" TargetMode="External" Id="rId141" /><Relationship Type="http://schemas.openxmlformats.org/officeDocument/2006/relationships/hyperlink" Target="http://item.taobao.com/item.htm?id=977412926516" TargetMode="External" Id="rId142" /><Relationship Type="http://schemas.openxmlformats.org/officeDocument/2006/relationships/hyperlink" Target="https://img.alicdn.com/bao/uploaded/i4/2217590670593/O1CN01rjhVF31GFdyKzBcj6_!!2217590670593.jpg" TargetMode="External" Id="rId143" /><Relationship Type="http://schemas.openxmlformats.org/officeDocument/2006/relationships/hyperlink" Target="http://item.taobao.com/item.htm?id=978773628130" TargetMode="External" Id="rId144" /><Relationship Type="http://schemas.openxmlformats.org/officeDocument/2006/relationships/hyperlink" Target="https://img.alicdn.com/bao/uploaded/i4/2217590670593/O1CN01rjhVF31GFdyKzBcj6_!!2217590670593.jpg" TargetMode="External" Id="rId145" /><Relationship Type="http://schemas.openxmlformats.org/officeDocument/2006/relationships/hyperlink" Target="http://item.taobao.com/item.htm?id=978773628130" TargetMode="External" Id="rId146" /><Relationship Type="http://schemas.openxmlformats.org/officeDocument/2006/relationships/hyperlink" Target="https://img.alicdn.com/bao/uploaded/i3/2217590670593/O1CN012vmpOo1GFdwwmyweb_!!2217590670593.jpg" TargetMode="External" Id="rId147" /><Relationship Type="http://schemas.openxmlformats.org/officeDocument/2006/relationships/hyperlink" Target="http://item.taobao.com/item.htm?id=965720620121" TargetMode="External" Id="rId148" /><Relationship Type="http://schemas.openxmlformats.org/officeDocument/2006/relationships/hyperlink" Target="https://img.alicdn.com/bao/uploaded/i4/2217590670593/O1CN01g52yMQ1GFdx0brzbm_!!2217590670593.jpg" TargetMode="External" Id="rId149" /><Relationship Type="http://schemas.openxmlformats.org/officeDocument/2006/relationships/hyperlink" Target="http://item.taobao.com/item.htm?id=965709300675" TargetMode="External" Id="rId150" /><Relationship Type="http://schemas.openxmlformats.org/officeDocument/2006/relationships/hyperlink" Target="https://img.alicdn.com/bao/uploaded/i3/2217590670593/O1CN01RZwv0i1GFdxBBivtA_!!2217590670593.jpg" TargetMode="External" Id="rId151" /><Relationship Type="http://schemas.openxmlformats.org/officeDocument/2006/relationships/hyperlink" Target="http://item.taobao.com/item.htm?id=963888151342" TargetMode="External" Id="rId152" /><Relationship Type="http://schemas.openxmlformats.org/officeDocument/2006/relationships/hyperlink" Target="https://img.alicdn.com/bao/uploaded/i3/2217590670593/O1CN01RZwv0i1GFdxBBivtA_!!2217590670593.jpg" TargetMode="External" Id="rId153" /><Relationship Type="http://schemas.openxmlformats.org/officeDocument/2006/relationships/hyperlink" Target="http://item.taobao.com/item.htm?id=963888151342" TargetMode="External" Id="rId154" /><Relationship Type="http://schemas.openxmlformats.org/officeDocument/2006/relationships/hyperlink" Target="https://img.alicdn.com/bao/uploaded/i3/2217590670593/O1CN01RZwv0i1GFdxBBivtA_!!2217590670593.jpg" TargetMode="External" Id="rId155" /><Relationship Type="http://schemas.openxmlformats.org/officeDocument/2006/relationships/hyperlink" Target="http://item.taobao.com/item.htm?id=965734072577" TargetMode="External" Id="rId156" /><Relationship Type="http://schemas.openxmlformats.org/officeDocument/2006/relationships/hyperlink" Target="https://img.alicdn.com/bao/uploaded/i3/2217590670593/O1CN01RZwv0i1GFdxBBivtA_!!2217590670593.jpg" TargetMode="External" Id="rId157" /><Relationship Type="http://schemas.openxmlformats.org/officeDocument/2006/relationships/hyperlink" Target="http://item.taobao.com/item.htm?id=965734072577" TargetMode="External" Id="rId158" /><Relationship Type="http://schemas.openxmlformats.org/officeDocument/2006/relationships/hyperlink" Target="https://img.alicdn.com/bao/uploaded/i4/2217590670593/O1CN01yjUReo1GFdx1hYVgl_!!2217590670593.jpg" TargetMode="External" Id="rId159" /><Relationship Type="http://schemas.openxmlformats.org/officeDocument/2006/relationships/hyperlink" Target="http://item.taobao.com/item.htm?id=965685763792" TargetMode="External" Id="rId160" /><Relationship Type="http://schemas.openxmlformats.org/officeDocument/2006/relationships/hyperlink" Target="https://img.alicdn.com/bao/uploaded/i1/2217590670593/O1CN019qHJlo1GFdx12brW4_!!2217590670593.jpg" TargetMode="External" Id="rId161" /><Relationship Type="http://schemas.openxmlformats.org/officeDocument/2006/relationships/hyperlink" Target="http://item.taobao.com/item.htm?id=965685763792" TargetMode="External" Id="rId162" /><Relationship Type="http://schemas.openxmlformats.org/officeDocument/2006/relationships/hyperlink" Target="https://img.alicdn.com/bao/uploaded/i4/2217590670593/O1CN01yjUReo1GFdx1hYVgl_!!2217590670593.jpg" TargetMode="External" Id="rId163" /><Relationship Type="http://schemas.openxmlformats.org/officeDocument/2006/relationships/hyperlink" Target="http://item.taobao.com/item.htm?id=965685763792" TargetMode="External" Id="rId164" /><Relationship Type="http://schemas.openxmlformats.org/officeDocument/2006/relationships/hyperlink" Target="https://img.alicdn.com/bao/uploaded/i1/2217590670593/O1CN019qHJlo1GFdx12brW4_!!2217590670593.jpg" TargetMode="External" Id="rId165" /><Relationship Type="http://schemas.openxmlformats.org/officeDocument/2006/relationships/hyperlink" Target="http://item.taobao.com/item.htm?id=965685763792" TargetMode="External" Id="rId166" /><Relationship Type="http://schemas.openxmlformats.org/officeDocument/2006/relationships/hyperlink" Target="https://img.alicdn.com/bao/uploaded/i4/2217590670593/O1CN01yjUReo1GFdx1hYVgl_!!2217590670593.jpg" TargetMode="External" Id="rId167" /><Relationship Type="http://schemas.openxmlformats.org/officeDocument/2006/relationships/hyperlink" Target="http://item.taobao.com/item.htm?id=965685763792" TargetMode="External" Id="rId168" /><Relationship Type="http://schemas.openxmlformats.org/officeDocument/2006/relationships/hyperlink" Target="https://img.alicdn.com/bao/uploaded/i1/2217590670593/O1CN019qHJlo1GFdx12brW4_!!2217590670593.jpg" TargetMode="External" Id="rId169" /><Relationship Type="http://schemas.openxmlformats.org/officeDocument/2006/relationships/hyperlink" Target="http://item.taobao.com/item.htm?id=965685763792" TargetMode="External" Id="rId170" /><Relationship Type="http://schemas.openxmlformats.org/officeDocument/2006/relationships/hyperlink" Target="https://img.alicdn.com/bao/uploaded/i1/2217590670593/O1CN01wihPxS1GFdwvCQXKy_!!2217590670593.jpg" TargetMode="External" Id="rId171" /><Relationship Type="http://schemas.openxmlformats.org/officeDocument/2006/relationships/hyperlink" Target="http://item.taobao.com/item.htm?id=965686756371" TargetMode="External" Id="rId172" /><Relationship Type="http://schemas.openxmlformats.org/officeDocument/2006/relationships/hyperlink" Target="https://img.alicdn.com/bao/uploaded/i1/2217590670593/O1CN01wihPxS1GFdwvCQXKy_!!2217590670593.jpg" TargetMode="External" Id="rId173" /><Relationship Type="http://schemas.openxmlformats.org/officeDocument/2006/relationships/hyperlink" Target="http://item.taobao.com/item.htm?id=965686756371" TargetMode="External" Id="rId174" /><Relationship Type="http://schemas.openxmlformats.org/officeDocument/2006/relationships/hyperlink" Target="https://img.alicdn.com/bao/uploaded/i4/2217590670593/O1CN01eVMZOI1GFdsWomFSu_!!2217590670593.jpg" TargetMode="External" Id="rId175" /><Relationship Type="http://schemas.openxmlformats.org/officeDocument/2006/relationships/hyperlink" Target="http://item.taobao.com/item.htm?id=965910959682" TargetMode="External" Id="rId176" /><Relationship Type="http://schemas.openxmlformats.org/officeDocument/2006/relationships/hyperlink" Target="https://img.alicdn.com/bao/uploaded/i4/2217590670593/O1CN01eVMZOI1GFdsWomFSu_!!2217590670593.jpg" TargetMode="External" Id="rId177" /><Relationship Type="http://schemas.openxmlformats.org/officeDocument/2006/relationships/hyperlink" Target="http://item.taobao.com/item.htm?id=965910959682" TargetMode="External" Id="rId178" /><Relationship Type="http://schemas.openxmlformats.org/officeDocument/2006/relationships/hyperlink" Target="https://img.alicdn.com/bao/uploaded/i2/2217590670593/O1CN01uKNQeD1GFdwzZUDc8_!!2217590670593.jpg" TargetMode="External" Id="rId179" /><Relationship Type="http://schemas.openxmlformats.org/officeDocument/2006/relationships/hyperlink" Target="http://item.taobao.com/item.htm?id=965673059752" TargetMode="External" Id="rId180" /><Relationship Type="http://schemas.openxmlformats.org/officeDocument/2006/relationships/hyperlink" Target="https://img.alicdn.com/bao/uploaded/i2/2217590670593/O1CN01uKNQeD1GFdwzZUDc8_!!2217590670593.jpg" TargetMode="External" Id="rId181" /><Relationship Type="http://schemas.openxmlformats.org/officeDocument/2006/relationships/hyperlink" Target="http://item.taobao.com/item.htm?id=965673059752" TargetMode="External" Id="rId182" /><Relationship Type="http://schemas.openxmlformats.org/officeDocument/2006/relationships/hyperlink" Target="https://img.alicdn.com/bao/uploaded/i3/2217590670593/O1CN01RQaGbH1GFdwvGSLnf_!!2217590670593.jpg" TargetMode="External" Id="rId183" /><Relationship Type="http://schemas.openxmlformats.org/officeDocument/2006/relationships/hyperlink" Target="http://item.taobao.com/item.htm?id=965734072577" TargetMode="External" Id="rId184" /><Relationship Type="http://schemas.openxmlformats.org/officeDocument/2006/relationships/hyperlink" Target="https://img.alicdn.com/bao/uploaded/i3/2217590670593/O1CN01RQaGbH1GFdwvGSLnf_!!2217590670593.jpg" TargetMode="External" Id="rId185" /><Relationship Type="http://schemas.openxmlformats.org/officeDocument/2006/relationships/hyperlink" Target="http://item.taobao.com/item.htm?id=965734072577" TargetMode="External" Id="rId186" /><Relationship Type="http://schemas.openxmlformats.org/officeDocument/2006/relationships/hyperlink" Target="https://img.alicdn.com/bao/uploaded/i1/2217590670593/O1CN01qbhRsy1GFdx02nM70_!!2217590670593.jpg" TargetMode="External" Id="rId187" /><Relationship Type="http://schemas.openxmlformats.org/officeDocument/2006/relationships/hyperlink" Target="http://item.taobao.com/item.htm?id=965113521854" TargetMode="External" Id="rId188" /><Relationship Type="http://schemas.openxmlformats.org/officeDocument/2006/relationships/hyperlink" Target="https://img.alicdn.com/bao/uploaded/i1/2217590670593/O1CN01qbhRsy1GFdx02nM70_!!2217590670593.jpg" TargetMode="External" Id="rId189" /><Relationship Type="http://schemas.openxmlformats.org/officeDocument/2006/relationships/hyperlink" Target="http://item.taobao.com/item.htm?id=965113521854" TargetMode="External" Id="rId190" /><Relationship Type="http://schemas.openxmlformats.org/officeDocument/2006/relationships/hyperlink" Target="https://img.alicdn.com/bao/uploaded/i3/2217590670593/O1CN012vmpOo1GFdwwmyweb_!!2217590670593.jpg" TargetMode="External" Id="rId191" /><Relationship Type="http://schemas.openxmlformats.org/officeDocument/2006/relationships/hyperlink" Target="http://item.taobao.com/item.htm?id=965720620121" TargetMode="External" Id="rId192" /><Relationship Type="http://schemas.openxmlformats.org/officeDocument/2006/relationships/hyperlink" Target="https://img.alicdn.com/bao/uploaded/i3/2217590670593/O1CN012vmpOo1GFdwwmyweb_!!2217590670593.jpg" TargetMode="External" Id="rId193" /><Relationship Type="http://schemas.openxmlformats.org/officeDocument/2006/relationships/hyperlink" Target="http://item.taobao.com/item.htm?id=965720620121" TargetMode="External" Id="rId194" /><Relationship Type="http://schemas.openxmlformats.org/officeDocument/2006/relationships/hyperlink" Target="https://img.alicdn.com/bao/uploaded/i4/2217590670593/O1CN01g52yMQ1GFdx0brzbm_!!2217590670593.jpg" TargetMode="External" Id="rId195" /><Relationship Type="http://schemas.openxmlformats.org/officeDocument/2006/relationships/hyperlink" Target="http://item.taobao.com/item.htm?id=965709300675" TargetMode="External" Id="rId196" /><Relationship Type="http://schemas.openxmlformats.org/officeDocument/2006/relationships/hyperlink" Target="https://img.alicdn.com/bao/uploaded/i4/2217590670593/O1CN01g52yMQ1GFdx0brzbm_!!2217590670593.jpg" TargetMode="External" Id="rId197" /><Relationship Type="http://schemas.openxmlformats.org/officeDocument/2006/relationships/hyperlink" Target="http://item.taobao.com/item.htm?id=965709300675" TargetMode="External" Id="rId198" /><Relationship Type="http://schemas.openxmlformats.org/officeDocument/2006/relationships/hyperlink" Target="https://img.alicdn.com/bao/uploaded/i1/2217590670593/O1CN01wihPxS1GFdwvCQXKy_!!2217590670593.jpg" TargetMode="External" Id="rId199" /><Relationship Type="http://schemas.openxmlformats.org/officeDocument/2006/relationships/hyperlink" Target="http://item.taobao.com/item.htm?id=965686756371" TargetMode="External" Id="rId200" /><Relationship Type="http://schemas.openxmlformats.org/officeDocument/2006/relationships/hyperlink" Target="https://img.alicdn.com/bao/uploaded/i1/2217590670593/O1CN01wihPxS1GFdwvCQXKy_!!2217590670593.jpg" TargetMode="External" Id="rId201" /><Relationship Type="http://schemas.openxmlformats.org/officeDocument/2006/relationships/hyperlink" Target="http://item.taobao.com/item.htm?id=965686756371" TargetMode="External" Id="rId202" /><Relationship Type="http://schemas.openxmlformats.org/officeDocument/2006/relationships/hyperlink" Target="https://img.alicdn.com/bao/uploaded/i3/2217590670593/O1CN01pppdkt1GFdww67oSS_!!2217590670593.jpg" TargetMode="External" Id="rId203" /><Relationship Type="http://schemas.openxmlformats.org/officeDocument/2006/relationships/hyperlink" Target="http://item.taobao.com/item.htm?id=963888151342" TargetMode="External" Id="rId204" /><Relationship Type="http://schemas.openxmlformats.org/officeDocument/2006/relationships/hyperlink" Target="https://img.alicdn.com/bao/uploaded/i3/2217590670593/O1CN01pppdkt1GFdww67oSS_!!2217590670593.jpg" TargetMode="External" Id="rId205" /><Relationship Type="http://schemas.openxmlformats.org/officeDocument/2006/relationships/hyperlink" Target="http://item.taobao.com/item.htm?id=963888151342" TargetMode="External" Id="rId206" /><Relationship Type="http://schemas.openxmlformats.org/officeDocument/2006/relationships/hyperlink" Target="https://img.alicdn.com/bao/uploaded/i2/2217590670593/O1CN01qfv5mh1GFdwwcgMbc_!!2217590670593.jpg" TargetMode="External" Id="rId207" /><Relationship Type="http://schemas.openxmlformats.org/officeDocument/2006/relationships/hyperlink" Target="http://item.taobao.com/item.htm?id=965053737716" TargetMode="External" Id="rId208" /><Relationship Type="http://schemas.openxmlformats.org/officeDocument/2006/relationships/hyperlink" Target="https://img.alicdn.com/bao/uploaded/i2/2217590670593/O1CN01qfv5mh1GFdwwcgMbc_!!2217590670593.jpg" TargetMode="External" Id="rId209" /><Relationship Type="http://schemas.openxmlformats.org/officeDocument/2006/relationships/hyperlink" Target="http://item.taobao.com/item.htm?id=965053737716" TargetMode="External" Id="rId210" /><Relationship Type="http://schemas.openxmlformats.org/officeDocument/2006/relationships/hyperlink" Target="https://img.alicdn.com/bao/uploaded/i1/2217590670593/O1CN01BnonAW1GFdwvincOo_!!2217590670593.jpg" TargetMode="External" Id="rId211" /><Relationship Type="http://schemas.openxmlformats.org/officeDocument/2006/relationships/hyperlink" Target="http://item.taobao.com/item.htm?id=965053737716" TargetMode="External" Id="rId212" /><Relationship Type="http://schemas.openxmlformats.org/officeDocument/2006/relationships/hyperlink" Target="https://img.alicdn.com/bao/uploaded/i1/2217590670593/O1CN01BnonAW1GFdwvincOo_!!2217590670593.jpg" TargetMode="External" Id="rId213" /><Relationship Type="http://schemas.openxmlformats.org/officeDocument/2006/relationships/hyperlink" Target="http://item.taobao.com/item.htm?id=965053737716" TargetMode="External" Id="rId214" /><Relationship Type="http://schemas.openxmlformats.org/officeDocument/2006/relationships/hyperlink" Target="https://img.alicdn.com/bao/uploaded/i4/2217590670593/O1CN01Z5hiwq1GFdv2jmgHC_!!2217590670593.jpg" TargetMode="External" Id="rId215" /><Relationship Type="http://schemas.openxmlformats.org/officeDocument/2006/relationships/hyperlink" Target="http://item.taobao.com/item.htm?id=915074198906" TargetMode="External" Id="rId216" /><Relationship Type="http://schemas.openxmlformats.org/officeDocument/2006/relationships/hyperlink" Target="https://img.alicdn.com/bao/uploaded/i4/2217590670593/O1CN01Z5hiwq1GFdv2jmgHC_!!2217590670593.jpg" TargetMode="External" Id="rId217" /><Relationship Type="http://schemas.openxmlformats.org/officeDocument/2006/relationships/hyperlink" Target="http://item.taobao.com/item.htm?id=915074198906" TargetMode="External" Id="rId218" /><Relationship Type="http://schemas.openxmlformats.org/officeDocument/2006/relationships/hyperlink" Target="https://img.alicdn.com/bao/uploaded/i4/2217590670593/O1CN01Z5hiwq1GFdv2jmgHC_!!2217590670593.jpg" TargetMode="External" Id="rId219" /><Relationship Type="http://schemas.openxmlformats.org/officeDocument/2006/relationships/hyperlink" Target="http://item.taobao.com/item.htm?id=915074198906" TargetMode="External" Id="rId220" /><Relationship Type="http://schemas.openxmlformats.org/officeDocument/2006/relationships/hyperlink" Target="https://img.alicdn.com/bao/uploaded/i1/2217590670593/O1CN01ZmqRQD1GFdwea86Gu_!!2217590670593.jpg" TargetMode="External" Id="rId221" /><Relationship Type="http://schemas.openxmlformats.org/officeDocument/2006/relationships/hyperlink" Target="http://item.taobao.com/item.htm?id=805155843613" TargetMode="External" Id="rId222" /><Relationship Type="http://schemas.openxmlformats.org/officeDocument/2006/relationships/hyperlink" Target="https://img.alicdn.com/bao/uploaded/i1/2217590670593/O1CN01ZmqRQD1GFdwea86Gu_!!2217590670593.jpg" TargetMode="External" Id="rId223" /><Relationship Type="http://schemas.openxmlformats.org/officeDocument/2006/relationships/hyperlink" Target="http://item.taobao.com/item.htm?id=805155843613" TargetMode="External" Id="rId224" /><Relationship Type="http://schemas.openxmlformats.org/officeDocument/2006/relationships/hyperlink" Target="https://img.alicdn.com/bao/uploaded/i1/2217590670593/O1CN01ZmqRQD1GFdwea86Gu_!!2217590670593.jpg" TargetMode="External" Id="rId225" /><Relationship Type="http://schemas.openxmlformats.org/officeDocument/2006/relationships/hyperlink" Target="http://item.taobao.com/item.htm?id=805155843613" TargetMode="External" Id="rId226" /><Relationship Type="http://schemas.openxmlformats.org/officeDocument/2006/relationships/hyperlink" Target="https://img.alicdn.com/bao/uploaded/i4/2217590670593/O1CN01Luzo9Q1GFdvJKTxCd_!!2217590670593.jpg" TargetMode="External" Id="rId227" /><Relationship Type="http://schemas.openxmlformats.org/officeDocument/2006/relationships/hyperlink" Target="http://item.taobao.com/item.htm?id=924779585209" TargetMode="External" Id="rId228" /><Relationship Type="http://schemas.openxmlformats.org/officeDocument/2006/relationships/hyperlink" Target="https://img.alicdn.com/bao/uploaded/i4/2217590670593/O1CN01Luzo9Q1GFdvJKTxCd_!!2217590670593.jpg" TargetMode="External" Id="rId229" /><Relationship Type="http://schemas.openxmlformats.org/officeDocument/2006/relationships/hyperlink" Target="http://item.taobao.com/item.htm?id=924779585209" TargetMode="External" Id="rId230" /><Relationship Type="http://schemas.openxmlformats.org/officeDocument/2006/relationships/hyperlink" Target="https://img.alicdn.com/bao/uploaded/i4/2217590670593/O1CN01Luzo9Q1GFdvJKTxCd_!!2217590670593.jpg" TargetMode="External" Id="rId231" /><Relationship Type="http://schemas.openxmlformats.org/officeDocument/2006/relationships/hyperlink" Target="http://item.taobao.com/item.htm?id=924779585209" TargetMode="External" Id="rId232" /><Relationship Type="http://schemas.openxmlformats.org/officeDocument/2006/relationships/hyperlink" Target="https://img.alicdn.com/bao/uploaded/i3/2217590670593/O1CN01pjwUET1GFdvIbTXoT_!!2217590670593.jpg" TargetMode="External" Id="rId233" /><Relationship Type="http://schemas.openxmlformats.org/officeDocument/2006/relationships/hyperlink" Target="http://item.taobao.com/item.htm?id=924779585209" TargetMode="External" Id="rId234" /><Relationship Type="http://schemas.openxmlformats.org/officeDocument/2006/relationships/hyperlink" Target="https://img.alicdn.com/bao/uploaded/i3/2217590670593/O1CN01pjwUET1GFdvIbTXoT_!!2217590670593.jpg" TargetMode="External" Id="rId235" /><Relationship Type="http://schemas.openxmlformats.org/officeDocument/2006/relationships/hyperlink" Target="http://item.taobao.com/item.htm?id=924779585209" TargetMode="External" Id="rId236" /><Relationship Type="http://schemas.openxmlformats.org/officeDocument/2006/relationships/hyperlink" Target="https://img.alicdn.com/bao/uploaded/i3/2217590670593/O1CN01pjwUET1GFdvIbTXoT_!!2217590670593.jpg" TargetMode="External" Id="rId237" /><Relationship Type="http://schemas.openxmlformats.org/officeDocument/2006/relationships/hyperlink" Target="http://item.taobao.com/item.htm?id=924779585209" TargetMode="External" Id="rId238" /><Relationship Type="http://schemas.openxmlformats.org/officeDocument/2006/relationships/hyperlink" Target="https://img.alicdn.com/bao/uploaded/i1/2217590670593/O1CN01XOHQx81GFdvFKfO81_!!2217590670593.jpg" TargetMode="External" Id="rId239" /><Relationship Type="http://schemas.openxmlformats.org/officeDocument/2006/relationships/hyperlink" Target="http://item.taobao.com/item.htm?id=924703237804" TargetMode="External" Id="rId240" /><Relationship Type="http://schemas.openxmlformats.org/officeDocument/2006/relationships/hyperlink" Target="https://img.alicdn.com/bao/uploaded/i1/2217590670593/O1CN01XOHQx81GFdvFKfO81_!!2217590670593.jpg" TargetMode="External" Id="rId241" /><Relationship Type="http://schemas.openxmlformats.org/officeDocument/2006/relationships/hyperlink" Target="http://item.taobao.com/item.htm?id=924703237804" TargetMode="External" Id="rId242" /><Relationship Type="http://schemas.openxmlformats.org/officeDocument/2006/relationships/hyperlink" Target="https://img.alicdn.com/bao/uploaded/i1/2217590670593/O1CN01XOHQx81GFdvFKfO81_!!2217590670593.jpg" TargetMode="External" Id="rId243" /><Relationship Type="http://schemas.openxmlformats.org/officeDocument/2006/relationships/hyperlink" Target="http://item.taobao.com/item.htm?id=924703237804" TargetMode="External" Id="rId244" /><Relationship Type="http://schemas.openxmlformats.org/officeDocument/2006/relationships/hyperlink" Target="https://img.alicdn.com/bao/uploaded/i1/2217590670593/O1CN01SUUgBd1GFdvIJuDc8_!!2217590670593.jpg" TargetMode="External" Id="rId245" /><Relationship Type="http://schemas.openxmlformats.org/officeDocument/2006/relationships/hyperlink" Target="http://item.taobao.com/item.htm?id=923781374333" TargetMode="External" Id="rId246" /><Relationship Type="http://schemas.openxmlformats.org/officeDocument/2006/relationships/hyperlink" Target="https://img.alicdn.com/bao/uploaded/i1/2217590670593/O1CN01SUUgBd1GFdvIJuDc8_!!2217590670593.jpg" TargetMode="External" Id="rId247" /><Relationship Type="http://schemas.openxmlformats.org/officeDocument/2006/relationships/hyperlink" Target="http://item.taobao.com/item.htm?id=923781374333" TargetMode="External" Id="rId248" /><Relationship Type="http://schemas.openxmlformats.org/officeDocument/2006/relationships/hyperlink" Target="https://img.alicdn.com/bao/uploaded/i1/2217590670593/O1CN01SUUgBd1GFdvIJuDc8_!!2217590670593.jpg" TargetMode="External" Id="rId249" /><Relationship Type="http://schemas.openxmlformats.org/officeDocument/2006/relationships/hyperlink" Target="http://item.taobao.com/item.htm?id=923781374333" TargetMode="External" Id="rId250" /><Relationship Type="http://schemas.openxmlformats.org/officeDocument/2006/relationships/hyperlink" Target="https://img.alicdn.com/bao/uploaded/i2/2217590670593/O1CN01D6jZtM1GFdvGTOTj9_!!2217590670593.jpg" TargetMode="External" Id="rId251" /><Relationship Type="http://schemas.openxmlformats.org/officeDocument/2006/relationships/hyperlink" Target="http://item.taobao.com/item.htm?id=923400087199" TargetMode="External" Id="rId252" /><Relationship Type="http://schemas.openxmlformats.org/officeDocument/2006/relationships/hyperlink" Target="https://img.alicdn.com/bao/uploaded/i2/2217590670593/O1CN01D6jZtM1GFdvGTOTj9_!!2217590670593.jpg" TargetMode="External" Id="rId253" /><Relationship Type="http://schemas.openxmlformats.org/officeDocument/2006/relationships/hyperlink" Target="http://item.taobao.com/item.htm?id=923400087199" TargetMode="External" Id="rId254" /><Relationship Type="http://schemas.openxmlformats.org/officeDocument/2006/relationships/hyperlink" Target="https://img.alicdn.com/bao/uploaded/i2/2217590670593/O1CN01D6jZtM1GFdvGTOTj9_!!2217590670593.jpg" TargetMode="External" Id="rId255" /><Relationship Type="http://schemas.openxmlformats.org/officeDocument/2006/relationships/hyperlink" Target="http://item.taobao.com/item.htm?id=923400087199" TargetMode="External" Id="rId256" /><Relationship Type="http://schemas.openxmlformats.org/officeDocument/2006/relationships/hyperlink" Target="https://img.alicdn.com/bao/uploaded/i2/2217590670593/O1CN01vOjUH81GFdvEnZliX_!!2217590670593.jpg" TargetMode="External" Id="rId257" /><Relationship Type="http://schemas.openxmlformats.org/officeDocument/2006/relationships/hyperlink" Target="http://item.taobao.com/item.htm?id=923769049506" TargetMode="External" Id="rId258" /><Relationship Type="http://schemas.openxmlformats.org/officeDocument/2006/relationships/hyperlink" Target="https://img.alicdn.com/bao/uploaded/i2/2217590670593/O1CN01vOjUH81GFdvEnZliX_!!2217590670593.jpg" TargetMode="External" Id="rId259" /><Relationship Type="http://schemas.openxmlformats.org/officeDocument/2006/relationships/hyperlink" Target="http://item.taobao.com/item.htm?id=923769049506" TargetMode="External" Id="rId260" /><Relationship Type="http://schemas.openxmlformats.org/officeDocument/2006/relationships/hyperlink" Target="https://img.alicdn.com/bao/uploaded/i2/2217590670593/O1CN01ddArXZ1GFdvH5SIAc_!!2217590670593.jpg" TargetMode="External" Id="rId261" /><Relationship Type="http://schemas.openxmlformats.org/officeDocument/2006/relationships/hyperlink" Target="http://item.taobao.com/item.htm?id=923758741641" TargetMode="External" Id="rId262" /><Relationship Type="http://schemas.openxmlformats.org/officeDocument/2006/relationships/hyperlink" Target="https://img.alicdn.com/bao/uploaded/i2/2217590670593/O1CN01ddArXZ1GFdvH5SIAc_!!2217590670593.jpg" TargetMode="External" Id="rId263" /><Relationship Type="http://schemas.openxmlformats.org/officeDocument/2006/relationships/hyperlink" Target="http://item.taobao.com/item.htm?id=923758741641" TargetMode="External" Id="rId264" /><Relationship Type="http://schemas.openxmlformats.org/officeDocument/2006/relationships/hyperlink" Target="https://img.alicdn.com/bao/uploaded/i2/2217590670593/O1CN01ddArXZ1GFdvH5SIAc_!!2217590670593.jpg" TargetMode="External" Id="rId265" /><Relationship Type="http://schemas.openxmlformats.org/officeDocument/2006/relationships/hyperlink" Target="http://item.taobao.com/item.htm?id=923758741641" TargetMode="External" Id="rId266" /><Relationship Type="http://schemas.openxmlformats.org/officeDocument/2006/relationships/hyperlink" Target="https://img.alicdn.com/bao/uploaded/i2/2217590670593/O1CN01KMf8nT1GFdvGWLEXg_!!2217590670593.jpg" TargetMode="External" Id="rId267" /><Relationship Type="http://schemas.openxmlformats.org/officeDocument/2006/relationships/hyperlink" Target="http://item.taobao.com/item.htm?id=924217720404" TargetMode="External" Id="rId268" /><Relationship Type="http://schemas.openxmlformats.org/officeDocument/2006/relationships/hyperlink" Target="https://img.alicdn.com/bao/uploaded/i2/2217590670593/O1CN01KMf8nT1GFdvGWLEXg_!!2217590670593.jpg" TargetMode="External" Id="rId269" /><Relationship Type="http://schemas.openxmlformats.org/officeDocument/2006/relationships/hyperlink" Target="http://item.taobao.com/item.htm?id=924217720404" TargetMode="External" Id="rId270" /><Relationship Type="http://schemas.openxmlformats.org/officeDocument/2006/relationships/hyperlink" Target="https://img.alicdn.com/bao/uploaded/i2/2217590670593/O1CN01Lv8v0A1GFdvGIMw4T_!!2217590670593.jpg" TargetMode="External" Id="rId271" /><Relationship Type="http://schemas.openxmlformats.org/officeDocument/2006/relationships/hyperlink" Target="http://item.taobao.com/item.htm?id=924217720404" TargetMode="External" Id="rId272" /><Relationship Type="http://schemas.openxmlformats.org/officeDocument/2006/relationships/hyperlink" Target="https://img.alicdn.com/bao/uploaded/i2/2217590670593/O1CN01Lv8v0A1GFdvGIMw4T_!!2217590670593.jpg" TargetMode="External" Id="rId273" /><Relationship Type="http://schemas.openxmlformats.org/officeDocument/2006/relationships/hyperlink" Target="http://item.taobao.com/item.htm?id=924217720404" TargetMode="External" Id="rId274" /><Relationship Type="http://schemas.openxmlformats.org/officeDocument/2006/relationships/hyperlink" Target="https://img.alicdn.com/bao/uploaded/i1/2217590670593/O1CN01zjcnfh1GFdvH903hA_!!2217590670593.jpg" TargetMode="External" Id="rId275" /><Relationship Type="http://schemas.openxmlformats.org/officeDocument/2006/relationships/hyperlink" Target="http://item.taobao.com/item.htm?id=924206552396" TargetMode="External" Id="rId276" /><Relationship Type="http://schemas.openxmlformats.org/officeDocument/2006/relationships/hyperlink" Target="https://img.alicdn.com/bao/uploaded/i1/2217590670593/O1CN01zjcnfh1GFdvH903hA_!!2217590670593.jpg" TargetMode="External" Id="rId277" /><Relationship Type="http://schemas.openxmlformats.org/officeDocument/2006/relationships/hyperlink" Target="http://item.taobao.com/item.htm?id=924206552396" TargetMode="External" Id="rId278" /><Relationship Type="http://schemas.openxmlformats.org/officeDocument/2006/relationships/hyperlink" Target="https://img.alicdn.com/bao/uploaded/i1/2217590670593/O1CN01zjcnfh1GFdvH903hA_!!2217590670593.jpg" TargetMode="External" Id="rId279" /><Relationship Type="http://schemas.openxmlformats.org/officeDocument/2006/relationships/hyperlink" Target="http://item.taobao.com/item.htm?id=924206552396" TargetMode="External" Id="rId280" /><Relationship Type="http://schemas.openxmlformats.org/officeDocument/2006/relationships/hyperlink" Target="https://img.alicdn.com/bao/uploaded/i3/2217590670593/O1CN01kWTIAF1GFduxLilgD_!!2217590670593.jpg" TargetMode="External" Id="rId281" /><Relationship Type="http://schemas.openxmlformats.org/officeDocument/2006/relationships/hyperlink" Target="http://item.taobao.com/item.htm?id=915599658517" TargetMode="External" Id="rId282" /><Relationship Type="http://schemas.openxmlformats.org/officeDocument/2006/relationships/hyperlink" Target="https://img.alicdn.com/bao/uploaded/i3/2217590670593/O1CN01kWTIAF1GFduxLilgD_!!2217590670593.jpg" TargetMode="External" Id="rId283" /><Relationship Type="http://schemas.openxmlformats.org/officeDocument/2006/relationships/hyperlink" Target="http://item.taobao.com/item.htm?id=915599658517" TargetMode="External" Id="rId284" /><Relationship Type="http://schemas.openxmlformats.org/officeDocument/2006/relationships/hyperlink" Target="https://img.alicdn.com/bao/uploaded/i3/2217590670593/O1CN01kWTIAF1GFduxLilgD_!!2217590670593.jpg" TargetMode="External" Id="rId285" /><Relationship Type="http://schemas.openxmlformats.org/officeDocument/2006/relationships/hyperlink" Target="http://item.taobao.com/item.htm?id=915599658517" TargetMode="External" Id="rId286" /><Relationship Type="http://schemas.openxmlformats.org/officeDocument/2006/relationships/hyperlink" Target="https://img.alicdn.com/bao/uploaded/i3/2217590670593/O1CN01iwN4oi1GFduwJEaQd_!!2217590670593.jpg" TargetMode="External" Id="rId287" /><Relationship Type="http://schemas.openxmlformats.org/officeDocument/2006/relationships/hyperlink" Target="http://item.taobao.com/item.htm?id=915145238498" TargetMode="External" Id="rId288" /><Relationship Type="http://schemas.openxmlformats.org/officeDocument/2006/relationships/hyperlink" Target="https://img.alicdn.com/bao/uploaded/i3/2217590670593/O1CN01iwN4oi1GFduwJEaQd_!!2217590670593.jpg" TargetMode="External" Id="rId289" /><Relationship Type="http://schemas.openxmlformats.org/officeDocument/2006/relationships/hyperlink" Target="http://item.taobao.com/item.htm?id=915145238498" TargetMode="External" Id="rId290" /><Relationship Type="http://schemas.openxmlformats.org/officeDocument/2006/relationships/hyperlink" Target="https://img.alicdn.com/bao/uploaded/i3/2217590670593/O1CN01iwN4oi1GFduwJEaQd_!!2217590670593.jpg" TargetMode="External" Id="rId291" /><Relationship Type="http://schemas.openxmlformats.org/officeDocument/2006/relationships/hyperlink" Target="http://item.taobao.com/item.htm?id=915145238498" TargetMode="External" Id="rId292" /><Relationship Type="http://schemas.openxmlformats.org/officeDocument/2006/relationships/hyperlink" Target="https://img.alicdn.com/bao/uploaded/i3/2217590670593/O1CN01fTxw9U1GFdv3M4DtH_!!2217590670593.jpg" TargetMode="External" Id="rId293" /><Relationship Type="http://schemas.openxmlformats.org/officeDocument/2006/relationships/hyperlink" Target="http://item.taobao.com/item.htm?id=915063018116" TargetMode="External" Id="rId294" /><Relationship Type="http://schemas.openxmlformats.org/officeDocument/2006/relationships/hyperlink" Target="https://img.alicdn.com/bao/uploaded/i3/2217590670593/O1CN01fTxw9U1GFdv3M4DtH_!!2217590670593.jpg" TargetMode="External" Id="rId295" /><Relationship Type="http://schemas.openxmlformats.org/officeDocument/2006/relationships/hyperlink" Target="http://item.taobao.com/item.htm?id=915063018116" TargetMode="External" Id="rId296" /><Relationship Type="http://schemas.openxmlformats.org/officeDocument/2006/relationships/hyperlink" Target="https://img.alicdn.com/bao/uploaded/i3/2217590670593/O1CN01fTxw9U1GFdv3M4DtH_!!2217590670593.jpg" TargetMode="External" Id="rId297" /><Relationship Type="http://schemas.openxmlformats.org/officeDocument/2006/relationships/hyperlink" Target="http://item.taobao.com/item.htm?id=915063018116" TargetMode="External" Id="rId298" /><Relationship Type="http://schemas.openxmlformats.org/officeDocument/2006/relationships/hyperlink" Target="https://img.alicdn.com/bao/uploaded/i3/2217590670593/O1CN01ikfzTQ1GFdupzS8As_!!2217590670593.jpg" TargetMode="External" Id="rId299" /><Relationship Type="http://schemas.openxmlformats.org/officeDocument/2006/relationships/hyperlink" Target="http://item.taobao.com/item.htm?id=915953464203" TargetMode="External" Id="rId300" /><Relationship Type="http://schemas.openxmlformats.org/officeDocument/2006/relationships/hyperlink" Target="https://img.alicdn.com/bao/uploaded/i3/2217590670593/O1CN01ikfzTQ1GFdupzS8As_!!2217590670593.jpg" TargetMode="External" Id="rId301" /><Relationship Type="http://schemas.openxmlformats.org/officeDocument/2006/relationships/hyperlink" Target="http://item.taobao.com/item.htm?id=915953464203" TargetMode="External" Id="rId302" /><Relationship Type="http://schemas.openxmlformats.org/officeDocument/2006/relationships/hyperlink" Target="https://img.alicdn.com/bao/uploaded/i3/2217590670593/O1CN01ikfzTQ1GFdupzS8As_!!2217590670593.jpg" TargetMode="External" Id="rId303" /><Relationship Type="http://schemas.openxmlformats.org/officeDocument/2006/relationships/hyperlink" Target="http://item.taobao.com/item.htm?id=915953464203" TargetMode="External" Id="rId304" /><Relationship Type="http://schemas.openxmlformats.org/officeDocument/2006/relationships/hyperlink" Target="https://img.alicdn.com/bao/uploaded/i2/2217590670593/O1CN01tiG55f1GFduxTzyep_!!2217590670593.jpg" TargetMode="External" Id="rId305" /><Relationship Type="http://schemas.openxmlformats.org/officeDocument/2006/relationships/hyperlink" Target="http://item.taobao.com/item.htm?id=915597412031" TargetMode="External" Id="rId306" /><Relationship Type="http://schemas.openxmlformats.org/officeDocument/2006/relationships/hyperlink" Target="https://img.alicdn.com/bao/uploaded/i2/2217590670593/O1CN01tiG55f1GFduxTzyep_!!2217590670593.jpg" TargetMode="External" Id="rId307" /><Relationship Type="http://schemas.openxmlformats.org/officeDocument/2006/relationships/hyperlink" Target="http://item.taobao.com/item.htm?id=915597412031" TargetMode="External" Id="rId308" /><Relationship Type="http://schemas.openxmlformats.org/officeDocument/2006/relationships/hyperlink" Target="https://img.alicdn.com/bao/uploaded/i2/2217590670593/O1CN01tiG55f1GFduxTzyep_!!2217590670593.jpg" TargetMode="External" Id="rId309" /><Relationship Type="http://schemas.openxmlformats.org/officeDocument/2006/relationships/hyperlink" Target="http://item.taobao.com/item.htm?id=915597412031" TargetMode="External" Id="rId310" /><Relationship Type="http://schemas.openxmlformats.org/officeDocument/2006/relationships/hyperlink" Target="https://img.alicdn.com/bao/uploaded/i3/2217590670593/O1CN01DS26yS1GFdv48J8SF_!!2217590670593.jpg" TargetMode="External" Id="rId311" /><Relationship Type="http://schemas.openxmlformats.org/officeDocument/2006/relationships/hyperlink" Target="http://item.taobao.com/item.htm?id=915505076322" TargetMode="External" Id="rId312" /><Relationship Type="http://schemas.openxmlformats.org/officeDocument/2006/relationships/hyperlink" Target="https://img.alicdn.com/bao/uploaded/i3/2217590670593/O1CN01DS26yS1GFdv48J8SF_!!2217590670593.jpg" TargetMode="External" Id="rId313" /><Relationship Type="http://schemas.openxmlformats.org/officeDocument/2006/relationships/hyperlink" Target="http://item.taobao.com/item.htm?id=915505076322" TargetMode="External" Id="rId314" /><Relationship Type="http://schemas.openxmlformats.org/officeDocument/2006/relationships/hyperlink" Target="https://img.alicdn.com/bao/uploaded/i4/2217590670593/O1CN01Ovfj1T1GFdsPe8L4t_!!2217590670593.jpg" TargetMode="External" Id="rId315" /><Relationship Type="http://schemas.openxmlformats.org/officeDocument/2006/relationships/hyperlink" Target="http://item.taobao.com/item.htm?id=855492008820" TargetMode="External" Id="rId316" /><Relationship Type="http://schemas.openxmlformats.org/officeDocument/2006/relationships/hyperlink" Target="https://img.alicdn.com/bao/uploaded/i4/2217590670593/O1CN01Ovfj1T1GFdsPe8L4t_!!2217590670593.jpg" TargetMode="External" Id="rId317" /><Relationship Type="http://schemas.openxmlformats.org/officeDocument/2006/relationships/hyperlink" Target="http://item.taobao.com/item.htm?id=855492008820" TargetMode="External" Id="rId318" /><Relationship Type="http://schemas.openxmlformats.org/officeDocument/2006/relationships/hyperlink" Target="https://img.alicdn.com/bao/uploaded/i4/2217590670593/O1CN01Ovfj1T1GFdsPe8L4t_!!2217590670593.jpg" TargetMode="External" Id="rId319" /><Relationship Type="http://schemas.openxmlformats.org/officeDocument/2006/relationships/hyperlink" Target="http://item.taobao.com/item.htm?id=855492008820" TargetMode="External" Id="rId320" /><Relationship Type="http://schemas.openxmlformats.org/officeDocument/2006/relationships/hyperlink" Target="https://img.alicdn.com/bao/uploaded/i1/2217590670593/O1CN01x0hiMl1GFdsYTf1jo_!!2217590670593.jpg" TargetMode="External" Id="rId321" /><Relationship Type="http://schemas.openxmlformats.org/officeDocument/2006/relationships/hyperlink" Target="http://item.taobao.com/item.htm?id=856802874022" TargetMode="External" Id="rId322" /><Relationship Type="http://schemas.openxmlformats.org/officeDocument/2006/relationships/hyperlink" Target="https://img.alicdn.com/bao/uploaded/i4/2217590670593/O1CN01eRpCI51GFdsVenbHc_!!2217590670593.jpg" TargetMode="External" Id="rId323" /><Relationship Type="http://schemas.openxmlformats.org/officeDocument/2006/relationships/hyperlink" Target="http://item.taobao.com/item.htm?id=856802874022" TargetMode="External" Id="rId324" /><Relationship Type="http://schemas.openxmlformats.org/officeDocument/2006/relationships/hyperlink" Target="https://img.alicdn.com/bao/uploaded/i2/2217590670593/O1CN01iX2YZ01GFdsWmirN3_!!2217590670593.jpg" TargetMode="External" Id="rId325" /><Relationship Type="http://schemas.openxmlformats.org/officeDocument/2006/relationships/hyperlink" Target="http://item.taobao.com/item.htm?id=857128161092" TargetMode="External" Id="rId326" /><Relationship Type="http://schemas.openxmlformats.org/officeDocument/2006/relationships/hyperlink" Target="https://img.alicdn.com/bao/uploaded/i2/2217590670593/O1CN01iX2YZ01GFdsWmirN3_!!2217590670593.jpg" TargetMode="External" Id="rId327" /><Relationship Type="http://schemas.openxmlformats.org/officeDocument/2006/relationships/hyperlink" Target="http://item.taobao.com/item.htm?id=857128161092" TargetMode="External" Id="rId328" /><Relationship Type="http://schemas.openxmlformats.org/officeDocument/2006/relationships/hyperlink" Target="https://img.alicdn.com/bao/uploaded/i1/2217590670593/O1CN01x0hiMl1GFdsYTf1jo_!!2217590670593.jpg" TargetMode="External" Id="rId329" /><Relationship Type="http://schemas.openxmlformats.org/officeDocument/2006/relationships/hyperlink" Target="http://item.taobao.com/item.htm?id=856802874022" TargetMode="External" Id="rId330" /><Relationship Type="http://schemas.openxmlformats.org/officeDocument/2006/relationships/hyperlink" Target="https://img.alicdn.com/bao/uploaded/i1/2217590670593/O1CN01x0hiMl1GFdsYTf1jo_!!2217590670593.jpg" TargetMode="External" Id="rId331" /><Relationship Type="http://schemas.openxmlformats.org/officeDocument/2006/relationships/hyperlink" Target="http://item.taobao.com/item.htm?id=856802874022" TargetMode="External" Id="rId332" /><Relationship Type="http://schemas.openxmlformats.org/officeDocument/2006/relationships/hyperlink" Target="https://img.alicdn.com/bao/uploaded/i4/2217590670593/O1CN01eRpCI51GFdsVenbHc_!!2217590670593.jpg" TargetMode="External" Id="rId333" /><Relationship Type="http://schemas.openxmlformats.org/officeDocument/2006/relationships/hyperlink" Target="http://item.taobao.com/item.htm?id=856802874022" TargetMode="External" Id="rId334" /><Relationship Type="http://schemas.openxmlformats.org/officeDocument/2006/relationships/hyperlink" Target="https://img.alicdn.com/bao/uploaded/i4/2217590670593/O1CN01eRpCI51GFdsVenbHc_!!2217590670593.jpg" TargetMode="External" Id="rId335" /><Relationship Type="http://schemas.openxmlformats.org/officeDocument/2006/relationships/hyperlink" Target="http://item.taobao.com/item.htm?id=856802874022" TargetMode="External" Id="rId336" /><Relationship Type="http://schemas.openxmlformats.org/officeDocument/2006/relationships/hyperlink" Target="https://img.alicdn.com/bao/uploaded/i1/2217590670593/O1CN01ClX7Xl1GFdsW9T9YI_!!2217590670593.jpg" TargetMode="External" Id="rId337" /><Relationship Type="http://schemas.openxmlformats.org/officeDocument/2006/relationships/hyperlink" Target="http://item.taobao.com/item.htm?id=857174708641" TargetMode="External" Id="rId338" /><Relationship Type="http://schemas.openxmlformats.org/officeDocument/2006/relationships/hyperlink" Target="https://img.alicdn.com/bao/uploaded/i1/2217590670593/O1CN01ClX7Xl1GFdsW9T9YI_!!2217590670593.jpg" TargetMode="External" Id="rId339" /><Relationship Type="http://schemas.openxmlformats.org/officeDocument/2006/relationships/hyperlink" Target="http://item.taobao.com/item.htm?id=857174708641" TargetMode="External" Id="rId340" /><Relationship Type="http://schemas.openxmlformats.org/officeDocument/2006/relationships/hyperlink" Target="https://img.alicdn.com/bao/uploaded/i1/2217590670593/O1CN01J3sSF31GFdsaUwHmD_!!2217590670593.jpg" TargetMode="External" Id="rId341" /><Relationship Type="http://schemas.openxmlformats.org/officeDocument/2006/relationships/hyperlink" Target="http://item.taobao.com/item.htm?id=857174708641" TargetMode="External" Id="rId342" /><Relationship Type="http://schemas.openxmlformats.org/officeDocument/2006/relationships/hyperlink" Target="https://img.alicdn.com/bao/uploaded/i1/2217590670593/O1CN01J3sSF31GFdsaUwHmD_!!2217590670593.jpg" TargetMode="External" Id="rId343" /><Relationship Type="http://schemas.openxmlformats.org/officeDocument/2006/relationships/hyperlink" Target="http://item.taobao.com/item.htm?id=857174708641" TargetMode="External" Id="rId344" /><Relationship Type="http://schemas.openxmlformats.org/officeDocument/2006/relationships/hyperlink" Target="https://img.alicdn.com/bao/uploaded/i3/2217590670593/O1CN01TKeckx1GFdscUpHg1_!!2217590670593.jpg" TargetMode="External" Id="rId345" /><Relationship Type="http://schemas.openxmlformats.org/officeDocument/2006/relationships/hyperlink" Target="http://item.taobao.com/item.htm?id=856918473955" TargetMode="External" Id="rId346" /><Relationship Type="http://schemas.openxmlformats.org/officeDocument/2006/relationships/hyperlink" Target="https://img.alicdn.com/bao/uploaded/i3/2217590670593/O1CN01TKeckx1GFdscUpHg1_!!2217590670593.jpg" TargetMode="External" Id="rId347" /><Relationship Type="http://schemas.openxmlformats.org/officeDocument/2006/relationships/hyperlink" Target="http://item.taobao.com/item.htm?id=856918473955" TargetMode="External" Id="rId348" /><Relationship Type="http://schemas.openxmlformats.org/officeDocument/2006/relationships/hyperlink" Target="https://img.alicdn.com/bao/uploaded/i1/2217590670593/O1CN01jFreBd1GFdsejACNL_!!2217590670593.jpg" TargetMode="External" Id="rId349" /><Relationship Type="http://schemas.openxmlformats.org/officeDocument/2006/relationships/hyperlink" Target="http://item.taobao.com/item.htm?id=856918473955" TargetMode="External" Id="rId350" /><Relationship Type="http://schemas.openxmlformats.org/officeDocument/2006/relationships/hyperlink" Target="https://img.alicdn.com/bao/uploaded/i1/2217590670593/O1CN01jFreBd1GFdsejACNL_!!2217590670593.jpg" TargetMode="External" Id="rId351" /><Relationship Type="http://schemas.openxmlformats.org/officeDocument/2006/relationships/hyperlink" Target="http://item.taobao.com/item.htm?id=856918473955" TargetMode="External" Id="rId352" /><Relationship Type="http://schemas.openxmlformats.org/officeDocument/2006/relationships/hyperlink" Target="https://img.alicdn.com/bao/uploaded/i4/2217590670593/O1CN01eVMZOI1GFdsWomFSu_!!2217590670593.jpg" TargetMode="External" Id="rId353" /><Relationship Type="http://schemas.openxmlformats.org/officeDocument/2006/relationships/hyperlink" Target="http://item.taobao.com/item.htm?id=855273870855" TargetMode="External" Id="rId354" /><Relationship Type="http://schemas.openxmlformats.org/officeDocument/2006/relationships/hyperlink" Target="https://img.alicdn.com/bao/uploaded/i4/2217590670593/O1CN01eVMZOI1GFdsWomFSu_!!2217590670593.jpg" TargetMode="External" Id="rId355" /><Relationship Type="http://schemas.openxmlformats.org/officeDocument/2006/relationships/hyperlink" Target="http://item.taobao.com/item.htm?id=855273870855" TargetMode="External" Id="rId356" /><Relationship Type="http://schemas.openxmlformats.org/officeDocument/2006/relationships/hyperlink" Target="https://img.alicdn.com/bao/uploaded/i1/2217590670593/O1CN01yG94oZ1GFdsW2W2UZ_!!2217590670593.jpg" TargetMode="External" Id="rId357" /><Relationship Type="http://schemas.openxmlformats.org/officeDocument/2006/relationships/hyperlink" Target="http://item.taobao.com/item.htm?id=855454936954" TargetMode="External" Id="rId358" /><Relationship Type="http://schemas.openxmlformats.org/officeDocument/2006/relationships/hyperlink" Target="https://img.alicdn.com/bao/uploaded/i1/2217590670593/O1CN01yG94oZ1GFdsW2W2UZ_!!2217590670593.jpg" TargetMode="External" Id="rId359" /><Relationship Type="http://schemas.openxmlformats.org/officeDocument/2006/relationships/hyperlink" Target="http://item.taobao.com/item.htm?id=855454936954" TargetMode="External" Id="rId360" /><Relationship Type="http://schemas.openxmlformats.org/officeDocument/2006/relationships/hyperlink" Target="https://img.alicdn.com/bao/uploaded/i4/2217590670593/O1CN012PnAfO1GFdsWUKzqM_!!2217590670593.jpg" TargetMode="External" Id="rId361" /><Relationship Type="http://schemas.openxmlformats.org/officeDocument/2006/relationships/hyperlink" Target="http://item.taobao.com/item.htm?id=855454936954" TargetMode="External" Id="rId362" /><Relationship Type="http://schemas.openxmlformats.org/officeDocument/2006/relationships/hyperlink" Target="https://img.alicdn.com/bao/uploaded/i4/2217590670593/O1CN012PnAfO1GFdsWUKzqM_!!2217590670593.jpg" TargetMode="External" Id="rId363" /><Relationship Type="http://schemas.openxmlformats.org/officeDocument/2006/relationships/hyperlink" Target="http://item.taobao.com/item.htm?id=855454936954" TargetMode="External" Id="rId364" /><Relationship Type="http://schemas.openxmlformats.org/officeDocument/2006/relationships/hyperlink" Target="https://img.alicdn.com/bao/uploaded/i4/2217590670593/O1CN01wJcGZl1GFdsW6QPHZ_!!2217590670593.jpg" TargetMode="External" Id="rId365" /><Relationship Type="http://schemas.openxmlformats.org/officeDocument/2006/relationships/hyperlink" Target="http://item.taobao.com/item.htm?id=854836674971" TargetMode="External" Id="rId366" /><Relationship Type="http://schemas.openxmlformats.org/officeDocument/2006/relationships/hyperlink" Target="https://img.alicdn.com/bao/uploaded/i4/2217590670593/O1CN01wJcGZl1GFdsW6QPHZ_!!2217590670593.jpg" TargetMode="External" Id="rId367" /><Relationship Type="http://schemas.openxmlformats.org/officeDocument/2006/relationships/hyperlink" Target="http://item.taobao.com/item.htm?id=854836674971" TargetMode="External" Id="rId368" /><Relationship Type="http://schemas.openxmlformats.org/officeDocument/2006/relationships/hyperlink" Target="https://img.alicdn.com/bao/uploaded/i4/2217590670593/O1CN01eRpCI51GFdsVenbHc_!!2217590670593.jpg" TargetMode="External" Id="rId369" /><Relationship Type="http://schemas.openxmlformats.org/officeDocument/2006/relationships/hyperlink" Target="http://item.taobao.com/item.htm?id=854836674971" TargetMode="External" Id="rId370" /><Relationship Type="http://schemas.openxmlformats.org/officeDocument/2006/relationships/hyperlink" Target="https://img.alicdn.com/bao/uploaded/i4/2217590670593/O1CN01eRpCI51GFdsVenbHc_!!2217590670593.jpg" TargetMode="External" Id="rId371" /><Relationship Type="http://schemas.openxmlformats.org/officeDocument/2006/relationships/hyperlink" Target="http://item.taobao.com/item.htm?id=854836674971" TargetMode="External" Id="rId372" /><Relationship Type="http://schemas.openxmlformats.org/officeDocument/2006/relationships/hyperlink" Target="https://img.alicdn.com/bao/uploaded/i1/2217590670593/O1CN01gQvtbb1GFdsW0DTFJ_!!2217590670593.jpg" TargetMode="External" Id="rId373" /><Relationship Type="http://schemas.openxmlformats.org/officeDocument/2006/relationships/hyperlink" Target="http://item.taobao.com/item.htm?id=854540170560" TargetMode="External" Id="rId374" /><Relationship Type="http://schemas.openxmlformats.org/officeDocument/2006/relationships/hyperlink" Target="https://img.alicdn.com/bao/uploaded/i1/2217590670593/O1CN01gQvtbb1GFdsW0DTFJ_!!2217590670593.jpg" TargetMode="External" Id="rId375" /><Relationship Type="http://schemas.openxmlformats.org/officeDocument/2006/relationships/hyperlink" Target="http://item.taobao.com/item.htm?id=854540170560" TargetMode="External" Id="rId376" /><Relationship Type="http://schemas.openxmlformats.org/officeDocument/2006/relationships/hyperlink" Target="https://img.alicdn.com/bao/uploaded/i2/2217590670593/O1CN01OgaxZa1GFdspjbGwO_!!2217590670593.jpg" TargetMode="External" Id="rId377" /><Relationship Type="http://schemas.openxmlformats.org/officeDocument/2006/relationships/hyperlink" Target="http://item.taobao.com/item.htm?id=854540170560" TargetMode="External" Id="rId378" /><Relationship Type="http://schemas.openxmlformats.org/officeDocument/2006/relationships/hyperlink" Target="https://img.alicdn.com/bao/uploaded/i2/2217590670593/O1CN01OgaxZa1GFdspjbGwO_!!2217590670593.jpg" TargetMode="External" Id="rId379" /><Relationship Type="http://schemas.openxmlformats.org/officeDocument/2006/relationships/hyperlink" Target="http://item.taobao.com/item.htm?id=854540170560" TargetMode="External" Id="rId380" /><Relationship Type="http://schemas.openxmlformats.org/officeDocument/2006/relationships/hyperlink" Target="https://img.alicdn.com/bao/uploaded/i2/2217590670593/O1CN01LAVLsC1GFdsXHNbxL_!!2217590670593.jpg" TargetMode="External" Id="rId381" /><Relationship Type="http://schemas.openxmlformats.org/officeDocument/2006/relationships/hyperlink" Target="http://item.taobao.com/item.htm?id=854393159870" TargetMode="External" Id="rId382" /><Relationship Type="http://schemas.openxmlformats.org/officeDocument/2006/relationships/hyperlink" Target="https://img.alicdn.com/bao/uploaded/i2/2217590670593/O1CN01LAVLsC1GFdsXHNbxL_!!2217590670593.jpg" TargetMode="External" Id="rId383" /><Relationship Type="http://schemas.openxmlformats.org/officeDocument/2006/relationships/hyperlink" Target="http://item.taobao.com/item.htm?id=854393159870" TargetMode="External" Id="rId384" /><Relationship Type="http://schemas.openxmlformats.org/officeDocument/2006/relationships/hyperlink" Target="https://img.alicdn.com/bao/uploaded/i4/2217590670593/O1CN01TMbQMR1GFdsWfnQtb_!!2217590670593.jpg" TargetMode="External" Id="rId385" /><Relationship Type="http://schemas.openxmlformats.org/officeDocument/2006/relationships/hyperlink" Target="http://item.taobao.com/item.htm?id=854393159870" TargetMode="External" Id="rId386" /><Relationship Type="http://schemas.openxmlformats.org/officeDocument/2006/relationships/hyperlink" Target="https://img.alicdn.com/bao/uploaded/i4/2217590670593/O1CN01TMbQMR1GFdsWfnQtb_!!2217590670593.jpg" TargetMode="External" Id="rId387" /><Relationship Type="http://schemas.openxmlformats.org/officeDocument/2006/relationships/hyperlink" Target="http://item.taobao.com/item.htm?id=854393159870" TargetMode="External" Id="rId388" /><Relationship Type="http://schemas.openxmlformats.org/officeDocument/2006/relationships/hyperlink" Target="https://img.alicdn.com/bao/uploaded/i2/2217590670593/O1CN01zQJ1mq1GFdsR9pKki_!!2217590670593.jpg" TargetMode="External" Id="rId389" /><Relationship Type="http://schemas.openxmlformats.org/officeDocument/2006/relationships/hyperlink" Target="http://item.taobao.com/item.htm?id=853107301007" TargetMode="External" Id="rId390" /><Relationship Type="http://schemas.openxmlformats.org/officeDocument/2006/relationships/hyperlink" Target="https://img.alicdn.com/bao/uploaded/i2/2217590670593/O1CN01zQJ1mq1GFdsR9pKki_!!2217590670593.jpg" TargetMode="External" Id="rId391" /><Relationship Type="http://schemas.openxmlformats.org/officeDocument/2006/relationships/hyperlink" Target="http://item.taobao.com/item.htm?id=853107301007" TargetMode="External" Id="rId392" /><Relationship Type="http://schemas.openxmlformats.org/officeDocument/2006/relationships/hyperlink" Target="https://img.alicdn.com/bao/uploaded/i4/2217590670593/O1CN01AAJFUG1GFdsWvNuBg_!!2217590670593.jpg" TargetMode="External" Id="rId393" /><Relationship Type="http://schemas.openxmlformats.org/officeDocument/2006/relationships/hyperlink" Target="http://item.taobao.com/item.htm?id=852645919685" TargetMode="External" Id="rId394" /><Relationship Type="http://schemas.openxmlformats.org/officeDocument/2006/relationships/hyperlink" Target="https://img.alicdn.com/bao/uploaded/i4/2217590670593/O1CN01AAJFUG1GFdsWvNuBg_!!2217590670593.jpg" TargetMode="External" Id="rId395" /><Relationship Type="http://schemas.openxmlformats.org/officeDocument/2006/relationships/hyperlink" Target="http://item.taobao.com/item.htm?id=852645919685" TargetMode="External" Id="rId396" /><Relationship Type="http://schemas.openxmlformats.org/officeDocument/2006/relationships/hyperlink" Target="https://img.alicdn.com/bao/uploaded/i1/2217590670593/O1CN01VrgIYe1GFdsR4FvaG_!!2217590670593.jpg" TargetMode="External" Id="rId397" /><Relationship Type="http://schemas.openxmlformats.org/officeDocument/2006/relationships/hyperlink" Target="http://item.taobao.com/item.htm?id=852645919685" TargetMode="External" Id="rId398" /><Relationship Type="http://schemas.openxmlformats.org/officeDocument/2006/relationships/hyperlink" Target="https://img.alicdn.com/bao/uploaded/i1/2217590670593/O1CN01VrgIYe1GFdsR4FvaG_!!2217590670593.jpg" TargetMode="External" Id="rId399" /><Relationship Type="http://schemas.openxmlformats.org/officeDocument/2006/relationships/hyperlink" Target="http://item.taobao.com/item.htm?id=852645919685" TargetMode="External" Id="rId400" /><Relationship Type="http://schemas.openxmlformats.org/officeDocument/2006/relationships/hyperlink" Target="https://img.alicdn.com/bao/uploaded/i2/2217590670593/O1CN01X6xBrX1GFdsR7bNEl_!!2217590670593.jpg" TargetMode="External" Id="rId401" /><Relationship Type="http://schemas.openxmlformats.org/officeDocument/2006/relationships/hyperlink" Target="http://item.taobao.com/item.htm?id=852786662148" TargetMode="External" Id="rId402" /><Relationship Type="http://schemas.openxmlformats.org/officeDocument/2006/relationships/hyperlink" Target="https://img.alicdn.com/bao/uploaded/i2/2217590670593/O1CN01X6xBrX1GFdsR7bNEl_!!2217590670593.jpg" TargetMode="External" Id="rId403" /><Relationship Type="http://schemas.openxmlformats.org/officeDocument/2006/relationships/hyperlink" Target="http://item.taobao.com/item.htm?id=852786662148" TargetMode="External" Id="rId404" /><Relationship Type="http://schemas.openxmlformats.org/officeDocument/2006/relationships/hyperlink" Target="https://img.alicdn.com/bao/uploaded/i1/2217590670593/O1CN01HCiENH1GFdsOxzxVR_!!2217590670593.jpg" TargetMode="External" Id="rId405" /><Relationship Type="http://schemas.openxmlformats.org/officeDocument/2006/relationships/hyperlink" Target="http://item.taobao.com/item.htm?id=852786662148" TargetMode="External" Id="rId406" /><Relationship Type="http://schemas.openxmlformats.org/officeDocument/2006/relationships/hyperlink" Target="https://img.alicdn.com/bao/uploaded/i1/2217590670593/O1CN01HCiENH1GFdsOxzxVR_!!2217590670593.jpg" TargetMode="External" Id="rId407" /><Relationship Type="http://schemas.openxmlformats.org/officeDocument/2006/relationships/hyperlink" Target="http://item.taobao.com/item.htm?id=852786662148" TargetMode="External" Id="rId408" /><Relationship Type="http://schemas.openxmlformats.org/officeDocument/2006/relationships/hyperlink" Target="https://img.alicdn.com/bao/uploaded/i1/2217590670593/O1CN01KrbK0i1GFdpiapeNw_!!2217590670593.jpg" TargetMode="External" Id="rId409" /><Relationship Type="http://schemas.openxmlformats.org/officeDocument/2006/relationships/hyperlink" Target="http://item.taobao.com/item.htm?id=805477971905" TargetMode="External" Id="rId410" /><Relationship Type="http://schemas.openxmlformats.org/officeDocument/2006/relationships/hyperlink" Target="https://img.alicdn.com/bao/uploaded/i1/2217590670593/O1CN01SGoUtm1GFdqCuUl6x_!!2217590670593.jpg" TargetMode="External" Id="rId411" /><Relationship Type="http://schemas.openxmlformats.org/officeDocument/2006/relationships/hyperlink" Target="http://item.taobao.com/item.htm?id=806185410390" TargetMode="External" Id="rId412" /><Relationship Type="http://schemas.openxmlformats.org/officeDocument/2006/relationships/hyperlink" Target="https://img.alicdn.com/bao/uploaded/i1/2217590670593/O1CN01SGoUtm1GFdqCuUl6x_!!2217590670593.jpg" TargetMode="External" Id="rId413" /><Relationship Type="http://schemas.openxmlformats.org/officeDocument/2006/relationships/hyperlink" Target="http://item.taobao.com/item.htm?id=806185410390" TargetMode="External" Id="rId414" /><Relationship Type="http://schemas.openxmlformats.org/officeDocument/2006/relationships/hyperlink" Target="https://img.alicdn.com/bao/uploaded/i1/2217590670593/O1CN01SGoUtm1GFdqCuUl6x_!!2217590670593.jpg" TargetMode="External" Id="rId415" /><Relationship Type="http://schemas.openxmlformats.org/officeDocument/2006/relationships/hyperlink" Target="http://item.taobao.com/item.htm?id=806185410390" TargetMode="External" Id="rId416" /><Relationship Type="http://schemas.openxmlformats.org/officeDocument/2006/relationships/hyperlink" Target="https://img.alicdn.com/bao/uploaded/i4/2217590670593/O1CN01NVLkKm1GFdqCCXdK9_!!2217590670593.jpg" TargetMode="External" Id="rId417" /><Relationship Type="http://schemas.openxmlformats.org/officeDocument/2006/relationships/hyperlink" Target="http://item.taobao.com/item.htm?id=811109161875" TargetMode="External" Id="rId418" /><Relationship Type="http://schemas.openxmlformats.org/officeDocument/2006/relationships/hyperlink" Target="https://img.alicdn.com/bao/uploaded/i2/2217590670593/O1CN01bqDp0B1GFdqA7ygJp_!!2217590670593.jpg" TargetMode="External" Id="rId419" /><Relationship Type="http://schemas.openxmlformats.org/officeDocument/2006/relationships/hyperlink" Target="http://item.taobao.com/item.htm?id=811109161875" TargetMode="External" Id="rId420" /><Relationship Type="http://schemas.openxmlformats.org/officeDocument/2006/relationships/hyperlink" Target="https://img.alicdn.com/bao/uploaded/i4/2217590670593/O1CN01NVLkKm1GFdqCCXdK9_!!2217590670593.jpg" TargetMode="External" Id="rId421" /><Relationship Type="http://schemas.openxmlformats.org/officeDocument/2006/relationships/hyperlink" Target="http://item.taobao.com/item.htm?id=811109161875" TargetMode="External" Id="rId422" /><Relationship Type="http://schemas.openxmlformats.org/officeDocument/2006/relationships/hyperlink" Target="https://img.alicdn.com/bao/uploaded/i4/2217590670593/O1CN01NVLkKm1GFdqCCXdK9_!!2217590670593.jpg" TargetMode="External" Id="rId423" /><Relationship Type="http://schemas.openxmlformats.org/officeDocument/2006/relationships/hyperlink" Target="http://item.taobao.com/item.htm?id=811109161875" TargetMode="External" Id="rId424" /><Relationship Type="http://schemas.openxmlformats.org/officeDocument/2006/relationships/hyperlink" Target="https://img.alicdn.com/bao/uploaded/i2/2217590670593/O1CN01bqDp0B1GFdqA7ygJp_!!2217590670593.jpg" TargetMode="External" Id="rId425" /><Relationship Type="http://schemas.openxmlformats.org/officeDocument/2006/relationships/hyperlink" Target="http://item.taobao.com/item.htm?id=811109161875" TargetMode="External" Id="rId426" /><Relationship Type="http://schemas.openxmlformats.org/officeDocument/2006/relationships/hyperlink" Target="https://img.alicdn.com/bao/uploaded/i2/2217590670593/O1CN01bqDp0B1GFdqA7ygJp_!!2217590670593.jpg" TargetMode="External" Id="rId427" /><Relationship Type="http://schemas.openxmlformats.org/officeDocument/2006/relationships/hyperlink" Target="http://item.taobao.com/item.htm?id=811109161875" TargetMode="External" Id="rId428" /><Relationship Type="http://schemas.openxmlformats.org/officeDocument/2006/relationships/hyperlink" Target="https://img.alicdn.com/bao/uploaded/i1/2217590670593/O1CN01le57m01GFdpiT0H0Y_!!2217590670593.jpg" TargetMode="External" Id="rId429" /><Relationship Type="http://schemas.openxmlformats.org/officeDocument/2006/relationships/hyperlink" Target="http://item.taobao.com/item.htm?id=806198870406" TargetMode="External" Id="rId430" /><Relationship Type="http://schemas.openxmlformats.org/officeDocument/2006/relationships/hyperlink" Target="https://img.alicdn.com/bao/uploaded/i4/2217590670593/O1CN016fOdoC1GFdomtkiPS_!!2217590670593.jpg" TargetMode="External" Id="rId431" /><Relationship Type="http://schemas.openxmlformats.org/officeDocument/2006/relationships/hyperlink" Target="http://item.taobao.com/item.htm?id=787851413611" TargetMode="External" Id="rId432" /><Relationship Type="http://schemas.openxmlformats.org/officeDocument/2006/relationships/hyperlink" Target="https://img.alicdn.com/bao/uploaded/i2/2217590670593/O1CN01TqSozO1GFdpkJcGB8_!!2217590670593.jpg" TargetMode="External" Id="rId433" /><Relationship Type="http://schemas.openxmlformats.org/officeDocument/2006/relationships/hyperlink" Target="http://item.taobao.com/item.htm?id=805243995791" TargetMode="External" Id="rId434" /><Relationship Type="http://schemas.openxmlformats.org/officeDocument/2006/relationships/hyperlink" Target="https://img.alicdn.com/bao/uploaded/i4/2217590670593/O1CN01cBHR1y1GFdpiMitRJ_!!2217590670593.jpg" TargetMode="External" Id="rId435" /><Relationship Type="http://schemas.openxmlformats.org/officeDocument/2006/relationships/hyperlink" Target="http://item.taobao.com/item.htm?id=807543226697" TargetMode="External" Id="rId436" /><Relationship Type="http://schemas.openxmlformats.org/officeDocument/2006/relationships/hyperlink" Target="https://img.alicdn.com/bao/uploaded/i4/2217590670593/O1CN01cBHR1y1GFdpiMitRJ_!!2217590670593.jpg" TargetMode="External" Id="rId437" /><Relationship Type="http://schemas.openxmlformats.org/officeDocument/2006/relationships/hyperlink" Target="http://item.taobao.com/item.htm?id=807543226697" TargetMode="External" Id="rId438" /><Relationship Type="http://schemas.openxmlformats.org/officeDocument/2006/relationships/hyperlink" Target="https://img.alicdn.com/bao/uploaded/i4/2217590670593/O1CN01cBHR1y1GFdpiMitRJ_!!2217590670593.jpg" TargetMode="External" Id="rId439" /><Relationship Type="http://schemas.openxmlformats.org/officeDocument/2006/relationships/hyperlink" Target="http://item.taobao.com/item.htm?id=807543226697" TargetMode="External" Id="rId440" /><Relationship Type="http://schemas.openxmlformats.org/officeDocument/2006/relationships/hyperlink" Target="https://img.alicdn.com/bao/uploaded/i3/2217590670593/O1CN01dmT3Ke1GFdpjQwVcR_!!2217590670593.jpg" TargetMode="External" Id="rId441" /><Relationship Type="http://schemas.openxmlformats.org/officeDocument/2006/relationships/hyperlink" Target="http://item.taobao.com/item.htm?id=805832349126" TargetMode="External" Id="rId442" /><Relationship Type="http://schemas.openxmlformats.org/officeDocument/2006/relationships/hyperlink" Target="https://img.alicdn.com/bao/uploaded/i3/2217590670593/O1CN01dmT3Ke1GFdpjQwVcR_!!2217590670593.jpg" TargetMode="External" Id="rId443" /><Relationship Type="http://schemas.openxmlformats.org/officeDocument/2006/relationships/hyperlink" Target="http://item.taobao.com/item.htm?id=805832349126" TargetMode="External" Id="rId444" /><Relationship Type="http://schemas.openxmlformats.org/officeDocument/2006/relationships/hyperlink" Target="https://img.alicdn.com/bao/uploaded/i3/2217590670593/O1CN01dmT3Ke1GFdpjQwVcR_!!2217590670593.jpg" TargetMode="External" Id="rId445" /><Relationship Type="http://schemas.openxmlformats.org/officeDocument/2006/relationships/hyperlink" Target="http://item.taobao.com/item.htm?id=805832349126" TargetMode="External" Id="rId446" /><Relationship Type="http://schemas.openxmlformats.org/officeDocument/2006/relationships/hyperlink" Target="https://img.alicdn.com/bao/uploaded/i2/2217590670593/O1CN01TqSozO1GFdpkJcGB8_!!2217590670593.jpg" TargetMode="External" Id="rId447" /><Relationship Type="http://schemas.openxmlformats.org/officeDocument/2006/relationships/hyperlink" Target="http://item.taobao.com/item.htm?id=805243995791" TargetMode="External" Id="rId448" /><Relationship Type="http://schemas.openxmlformats.org/officeDocument/2006/relationships/hyperlink" Target="https://img.alicdn.com/bao/uploaded/i2/2217590670593/O1CN01TqSozO1GFdpkJcGB8_!!2217590670593.jpg" TargetMode="External" Id="rId449" /><Relationship Type="http://schemas.openxmlformats.org/officeDocument/2006/relationships/hyperlink" Target="http://item.taobao.com/item.htm?id=805243995791" TargetMode="External" Id="rId450" /><Relationship Type="http://schemas.openxmlformats.org/officeDocument/2006/relationships/hyperlink" Target="https://img.alicdn.com/bao/uploaded/i4/2217590670593/O1CN01zGDxqH1GFdpiW0m7P_!!2217590670593.jpg" TargetMode="External" Id="rId451" /><Relationship Type="http://schemas.openxmlformats.org/officeDocument/2006/relationships/hyperlink" Target="http://item.taobao.com/item.htm?id=805466991968" TargetMode="External" Id="rId452" /><Relationship Type="http://schemas.openxmlformats.org/officeDocument/2006/relationships/hyperlink" Target="https://img.alicdn.com/bao/uploaded/i4/2217590670593/O1CN01zGDxqH1GFdpiW0m7P_!!2217590670593.jpg" TargetMode="External" Id="rId453" /><Relationship Type="http://schemas.openxmlformats.org/officeDocument/2006/relationships/hyperlink" Target="http://item.taobao.com/item.htm?id=805466991968" TargetMode="External" Id="rId454" /><Relationship Type="http://schemas.openxmlformats.org/officeDocument/2006/relationships/hyperlink" Target="https://img.alicdn.com/bao/uploaded/i4/2217590670593/O1CN01zGDxqH1GFdpiW0m7P_!!2217590670593.jpg" TargetMode="External" Id="rId455" /><Relationship Type="http://schemas.openxmlformats.org/officeDocument/2006/relationships/hyperlink" Target="http://item.taobao.com/item.htm?id=805466991968" TargetMode="External" Id="rId456" /><Relationship Type="http://schemas.openxmlformats.org/officeDocument/2006/relationships/hyperlink" Target="https://img.alicdn.com/bao/uploaded/i1/2217590670593/O1CN01le57m01GFdpiT0H0Y_!!2217590670593.jpg" TargetMode="External" Id="rId457" /><Relationship Type="http://schemas.openxmlformats.org/officeDocument/2006/relationships/hyperlink" Target="http://item.taobao.com/item.htm?id=806198870406" TargetMode="External" Id="rId458" /><Relationship Type="http://schemas.openxmlformats.org/officeDocument/2006/relationships/hyperlink" Target="https://img.alicdn.com/bao/uploaded/i1/2217590670593/O1CN01le57m01GFdpiT0H0Y_!!2217590670593.jpg" TargetMode="External" Id="rId459" /><Relationship Type="http://schemas.openxmlformats.org/officeDocument/2006/relationships/hyperlink" Target="http://item.taobao.com/item.htm?id=806198870406" TargetMode="External" Id="rId460" /><Relationship Type="http://schemas.openxmlformats.org/officeDocument/2006/relationships/hyperlink" Target="https://img.alicdn.com/bao/uploaded/i4/2217590670593/O1CN01bkF0Ap1GFdpf1hF5R_!!2217590670593.jpg" TargetMode="External" Id="rId461" /><Relationship Type="http://schemas.openxmlformats.org/officeDocument/2006/relationships/hyperlink" Target="http://item.taobao.com/item.htm?id=805435277093" TargetMode="External" Id="rId462" /><Relationship Type="http://schemas.openxmlformats.org/officeDocument/2006/relationships/hyperlink" Target="https://img.alicdn.com/bao/uploaded/i4/2217590670593/O1CN01bkF0Ap1GFdpf1hF5R_!!2217590670593.jpg" TargetMode="External" Id="rId463" /><Relationship Type="http://schemas.openxmlformats.org/officeDocument/2006/relationships/hyperlink" Target="http://item.taobao.com/item.htm?id=805435277093" TargetMode="External" Id="rId464" /><Relationship Type="http://schemas.openxmlformats.org/officeDocument/2006/relationships/hyperlink" Target="https://img.alicdn.com/bao/uploaded/i4/2217590670593/O1CN01bkF0Ap1GFdpf1hF5R_!!2217590670593.jpg" TargetMode="External" Id="rId465" /><Relationship Type="http://schemas.openxmlformats.org/officeDocument/2006/relationships/hyperlink" Target="http://item.taobao.com/item.htm?id=805435277093" TargetMode="External" Id="rId466" /><Relationship Type="http://schemas.openxmlformats.org/officeDocument/2006/relationships/hyperlink" Target="https://img.alicdn.com/bao/uploaded/i1/2217590670593/O1CN01YZUxU91GFdpiQ2eyD_!!2217590670593.jpg" TargetMode="External" Id="rId467" /><Relationship Type="http://schemas.openxmlformats.org/officeDocument/2006/relationships/hyperlink" Target="http://item.taobao.com/item.htm?id=805737181664" TargetMode="External" Id="rId468" /><Relationship Type="http://schemas.openxmlformats.org/officeDocument/2006/relationships/hyperlink" Target="https://img.alicdn.com/bao/uploaded/i1/2217590670593/O1CN01YZUxU91GFdpiQ2eyD_!!2217590670593.jpg" TargetMode="External" Id="rId469" /><Relationship Type="http://schemas.openxmlformats.org/officeDocument/2006/relationships/hyperlink" Target="http://item.taobao.com/item.htm?id=805737181664" TargetMode="External" Id="rId470" /><Relationship Type="http://schemas.openxmlformats.org/officeDocument/2006/relationships/hyperlink" Target="https://img.alicdn.com/bao/uploaded/i1/2217590670593/O1CN01YZUxU91GFdpiQ2eyD_!!2217590670593.jpg" TargetMode="External" Id="rId471" /><Relationship Type="http://schemas.openxmlformats.org/officeDocument/2006/relationships/hyperlink" Target="http://item.taobao.com/item.htm?id=805737181664" TargetMode="External" Id="rId472" /><Relationship Type="http://schemas.openxmlformats.org/officeDocument/2006/relationships/hyperlink" Target="https://img.alicdn.com/bao/uploaded/i1/2217590670593/O1CN01YZUxU91GFdpiQ2eyD_!!2217590670593.jpg" TargetMode="External" Id="rId473" /><Relationship Type="http://schemas.openxmlformats.org/officeDocument/2006/relationships/hyperlink" Target="http://item.taobao.com/item.htm?id=805737181664" TargetMode="External" Id="rId474" /><Relationship Type="http://schemas.openxmlformats.org/officeDocument/2006/relationships/hyperlink" Target="https://img.alicdn.com/bao/uploaded/i1/2217590670593/O1CN01D1mnFi1GFdpWvRMRV_!!2217590670593.jpg" TargetMode="External" Id="rId475" /><Relationship Type="http://schemas.openxmlformats.org/officeDocument/2006/relationships/hyperlink" Target="http://item.taobao.com/item.htm?id=805240702207" TargetMode="External" Id="rId476" /><Relationship Type="http://schemas.openxmlformats.org/officeDocument/2006/relationships/hyperlink" Target="https://img.alicdn.com/bao/uploaded/i1/2217590670593/O1CN01D1mnFi1GFdpWvRMRV_!!2217590670593.jpg" TargetMode="External" Id="rId477" /><Relationship Type="http://schemas.openxmlformats.org/officeDocument/2006/relationships/hyperlink" Target="http://item.taobao.com/item.htm?id=805240702207" TargetMode="External" Id="rId478" /><Relationship Type="http://schemas.openxmlformats.org/officeDocument/2006/relationships/hyperlink" Target="https://img.alicdn.com/bao/uploaded/i3/2217590670593/O1CN01q90Rk01GFdpW2UYab_!!2217590670593.jpg" TargetMode="External" Id="rId479" /><Relationship Type="http://schemas.openxmlformats.org/officeDocument/2006/relationships/hyperlink" Target="http://item.taobao.com/item.htm?id=805155843613" TargetMode="External" Id="rId480" /><Relationship Type="http://schemas.openxmlformats.org/officeDocument/2006/relationships/hyperlink" Target="https://img.alicdn.com/bao/uploaded/i3/2217590670593/O1CN01q90Rk01GFdpW2UYab_!!2217590670593.jpg" TargetMode="External" Id="rId481" /><Relationship Type="http://schemas.openxmlformats.org/officeDocument/2006/relationships/hyperlink" Target="http://item.taobao.com/item.htm?id=805155843613" TargetMode="External" Id="rId482" /><Relationship Type="http://schemas.openxmlformats.org/officeDocument/2006/relationships/hyperlink" Target="https://img.alicdn.com/bao/uploaded/i3/2217590670593/O1CN01q90Rk01GFdpW2UYab_!!2217590670593.jpg" TargetMode="External" Id="rId483" /><Relationship Type="http://schemas.openxmlformats.org/officeDocument/2006/relationships/hyperlink" Target="http://item.taobao.com/item.htm?id=805155843613" TargetMode="External" Id="rId484" /><Relationship Type="http://schemas.openxmlformats.org/officeDocument/2006/relationships/hyperlink" Target="https://img.alicdn.com/bao/uploaded/i3/2217590670593/O1CN01aFs6Tx1GFdpiaCW2R_!!2217590670593.jpg" TargetMode="External" Id="rId485" /><Relationship Type="http://schemas.openxmlformats.org/officeDocument/2006/relationships/hyperlink" Target="http://item.taobao.com/item.htm?id=808048458843" TargetMode="External" Id="rId486" /><Relationship Type="http://schemas.openxmlformats.org/officeDocument/2006/relationships/hyperlink" Target="https://img.alicdn.com/bao/uploaded/i3/2217590670593/O1CN01aFs6Tx1GFdpiaCW2R_!!2217590670593.jpg" TargetMode="External" Id="rId487" /><Relationship Type="http://schemas.openxmlformats.org/officeDocument/2006/relationships/hyperlink" Target="http://item.taobao.com/item.htm?id=808048458843" TargetMode="External" Id="rId488" /><Relationship Type="http://schemas.openxmlformats.org/officeDocument/2006/relationships/hyperlink" Target="https://img.alicdn.com/bao/uploaded/i3/2217590670593/O1CN01aFs6Tx1GFdpiaCW2R_!!2217590670593.jpg" TargetMode="External" Id="rId489" /><Relationship Type="http://schemas.openxmlformats.org/officeDocument/2006/relationships/hyperlink" Target="http://item.taobao.com/item.htm?id=808048458843" TargetMode="External" Id="rId490" /><Relationship Type="http://schemas.openxmlformats.org/officeDocument/2006/relationships/hyperlink" Target="https://img.alicdn.com/bao/uploaded/i2/2217590670593/O1CN01fgwFKi1GFdqCIiAPK_!!2217590670593.jpg" TargetMode="External" Id="rId491" /><Relationship Type="http://schemas.openxmlformats.org/officeDocument/2006/relationships/hyperlink" Target="http://item.taobao.com/item.htm?id=806185410390" TargetMode="External" Id="rId492" /><Relationship Type="http://schemas.openxmlformats.org/officeDocument/2006/relationships/hyperlink" Target="https://img.alicdn.com/bao/uploaded/i2/2217590670593/O1CN01fgwFKi1GFdqCIiAPK_!!2217590670593.jpg" TargetMode="External" Id="rId493" /><Relationship Type="http://schemas.openxmlformats.org/officeDocument/2006/relationships/hyperlink" Target="http://item.taobao.com/item.htm?id=806185410390" TargetMode="External" Id="rId494" /><Relationship Type="http://schemas.openxmlformats.org/officeDocument/2006/relationships/hyperlink" Target="https://img.alicdn.com/bao/uploaded/i2/2217590670593/O1CN01fgwFKi1GFdqCIiAPK_!!2217590670593.jpg" TargetMode="External" Id="rId495" /><Relationship Type="http://schemas.openxmlformats.org/officeDocument/2006/relationships/hyperlink" Target="http://item.taobao.com/item.htm?id=806185410390" TargetMode="External" Id="rId496" /><Relationship Type="http://schemas.openxmlformats.org/officeDocument/2006/relationships/hyperlink" Target="https://img.alicdn.com/bao/uploaded/i2/2217590670593/O1CN01JxKyk01GFdpW9Y4QY_!!2217590670593.jpg" TargetMode="External" Id="rId497" /><Relationship Type="http://schemas.openxmlformats.org/officeDocument/2006/relationships/hyperlink" Target="http://item.taobao.com/item.htm?id=805271526953" TargetMode="External" Id="rId498" /><Relationship Type="http://schemas.openxmlformats.org/officeDocument/2006/relationships/hyperlink" Target="https://img.alicdn.com/bao/uploaded/i2/2217590670593/O1CN01JxKyk01GFdpW9Y4QY_!!2217590670593.jpg" TargetMode="External" Id="rId499" /><Relationship Type="http://schemas.openxmlformats.org/officeDocument/2006/relationships/hyperlink" Target="http://item.taobao.com/item.htm?id=805271526953" TargetMode="External" Id="rId500" /><Relationship Type="http://schemas.openxmlformats.org/officeDocument/2006/relationships/hyperlink" Target="https://img.alicdn.com/bao/uploaded/i1/2217590670593/O1CN01KrbK0i1GFdpiapeNw_!!2217590670593.jpg" TargetMode="External" Id="rId501" /><Relationship Type="http://schemas.openxmlformats.org/officeDocument/2006/relationships/hyperlink" Target="http://item.taobao.com/item.htm?id=805477971905" TargetMode="External" Id="rId502" /><Relationship Type="http://schemas.openxmlformats.org/officeDocument/2006/relationships/hyperlink" Target="https://img.alicdn.com/bao/uploaded/i1/2217590670593/O1CN01KrbK0i1GFdpiapeNw_!!2217590670593.jpg" TargetMode="External" Id="rId503" /><Relationship Type="http://schemas.openxmlformats.org/officeDocument/2006/relationships/hyperlink" Target="http://item.taobao.com/item.htm?id=805477971905" TargetMode="External" Id="rId504" /><Relationship Type="http://schemas.openxmlformats.org/officeDocument/2006/relationships/hyperlink" Target="https://img.alicdn.com/bao/uploaded/i1/2217590670593/O1CN01KrbK0i1GFdpiapeNw_!!2217590670593.jpg" TargetMode="External" Id="rId505" /><Relationship Type="http://schemas.openxmlformats.org/officeDocument/2006/relationships/hyperlink" Target="http://item.taobao.com/item.htm?id=805477971905" TargetMode="External" Id="rId506" /><Relationship Type="http://schemas.openxmlformats.org/officeDocument/2006/relationships/hyperlink" Target="https://img.alicdn.com/bao/uploaded/i4/2217590670593/O1CN01zGDxqH1GFdpiW0m7P_!!2217590670593.jpg" TargetMode="External" Id="rId507" /><Relationship Type="http://schemas.openxmlformats.org/officeDocument/2006/relationships/hyperlink" Target="http://item.taobao.com/item.htm?id=805466991968" TargetMode="External" Id="rId508" /><Relationship Type="http://schemas.openxmlformats.org/officeDocument/2006/relationships/hyperlink" Target="https://img.alicdn.com/bao/uploaded/i4/2217590670593/O1CN01zGDxqH1GFdpiW0m7P_!!2217590670593.jpg" TargetMode="External" Id="rId509" /><Relationship Type="http://schemas.openxmlformats.org/officeDocument/2006/relationships/hyperlink" Target="http://item.taobao.com/item.htm?id=805466991968" TargetMode="External" Id="rId510" /><Relationship Type="http://schemas.openxmlformats.org/officeDocument/2006/relationships/hyperlink" Target="https://img.alicdn.com/bao/uploaded/i4/2217590670593/O1CN01zGDxqH1GFdpiW0m7P_!!2217590670593.jpg" TargetMode="External" Id="rId511" /><Relationship Type="http://schemas.openxmlformats.org/officeDocument/2006/relationships/hyperlink" Target="http://item.taobao.com/item.htm?id=805466991968" TargetMode="External" Id="rId512" /><Relationship Type="http://schemas.openxmlformats.org/officeDocument/2006/relationships/hyperlink" Target="https://img.alicdn.com/bao/uploaded/i4/2217590670593/O1CN01zGDxqH1GFdpiW0m7P_!!2217590670593.jpg" TargetMode="External" Id="rId513" /><Relationship Type="http://schemas.openxmlformats.org/officeDocument/2006/relationships/hyperlink" Target="http://item.taobao.com/item.htm?id=805466991968" TargetMode="External" Id="rId514" /><Relationship Type="http://schemas.openxmlformats.org/officeDocument/2006/relationships/hyperlink" Target="https://img.alicdn.com/bao/uploaded/i4/2217590670593/O1CN01zGDxqH1GFdpiW0m7P_!!2217590670593.jpg" TargetMode="External" Id="rId515" /><Relationship Type="http://schemas.openxmlformats.org/officeDocument/2006/relationships/hyperlink" Target="http://item.taobao.com/item.htm?id=805466991968" TargetMode="External" Id="rId516" /><Relationship Type="http://schemas.openxmlformats.org/officeDocument/2006/relationships/hyperlink" Target="https://img.alicdn.com/bao/uploaded/i4/2217590670593/O1CN01zGDxqH1GFdpiW0m7P_!!2217590670593.jpg" TargetMode="External" Id="rId517" /><Relationship Type="http://schemas.openxmlformats.org/officeDocument/2006/relationships/hyperlink" Target="http://item.taobao.com/item.htm?id=805466991968" TargetMode="External" Id="rId518" /><Relationship Type="http://schemas.openxmlformats.org/officeDocument/2006/relationships/hyperlink" Target="https://img.alicdn.com/bao/uploaded/i2/2217590670593/O1CN015sQMKG1GFdphNWeJz_!!2217590670593.jpg" TargetMode="External" Id="rId519" /><Relationship Type="http://schemas.openxmlformats.org/officeDocument/2006/relationships/hyperlink" Target="http://item.taobao.com/item.htm?id=805743181177" TargetMode="External" Id="rId520" /><Relationship Type="http://schemas.openxmlformats.org/officeDocument/2006/relationships/hyperlink" Target="https://img.alicdn.com/bao/uploaded/i2/2217590670593/O1CN015sQMKG1GFdphNWeJz_!!2217590670593.jpg" TargetMode="External" Id="rId521" /><Relationship Type="http://schemas.openxmlformats.org/officeDocument/2006/relationships/hyperlink" Target="http://item.taobao.com/item.htm?id=805743181177" TargetMode="External" Id="rId522" /><Relationship Type="http://schemas.openxmlformats.org/officeDocument/2006/relationships/hyperlink" Target="https://img.alicdn.com/bao/uploaded/i2/2217590670593/O1CN015sQMKG1GFdphNWeJz_!!2217590670593.jpg" TargetMode="External" Id="rId523" /><Relationship Type="http://schemas.openxmlformats.org/officeDocument/2006/relationships/hyperlink" Target="http://item.taobao.com/item.htm?id=805743181177" TargetMode="External" Id="rId524" /><Relationship Type="http://schemas.openxmlformats.org/officeDocument/2006/relationships/hyperlink" Target="https://img.alicdn.com/bao/uploaded/i2/2217590670593/O1CN015sQMKG1GFdphNWeJz_!!2217590670593.jpg" TargetMode="External" Id="rId525" /><Relationship Type="http://schemas.openxmlformats.org/officeDocument/2006/relationships/hyperlink" Target="http://item.taobao.com/item.htm?id=805743181177" TargetMode="External" Id="rId526" /><Relationship Type="http://schemas.openxmlformats.org/officeDocument/2006/relationships/hyperlink" Target="https://img.alicdn.com/bao/uploaded/i1/2217590670593/O1CN01odaeDC1GFdpZQVrxf_!!2217590670593.jpg" TargetMode="External" Id="rId527" /><Relationship Type="http://schemas.openxmlformats.org/officeDocument/2006/relationships/hyperlink" Target="http://item.taobao.com/item.htm?id=805791248352" TargetMode="External" Id="rId528" /><Relationship Type="http://schemas.openxmlformats.org/officeDocument/2006/relationships/hyperlink" Target="https://img.alicdn.com/bao/uploaded/i1/2217590670593/O1CN01odaeDC1GFdpZQVrxf_!!2217590670593.jpg" TargetMode="External" Id="rId529" /><Relationship Type="http://schemas.openxmlformats.org/officeDocument/2006/relationships/hyperlink" Target="http://item.taobao.com/item.htm?id=805791248352" TargetMode="External" Id="rId530" /><Relationship Type="http://schemas.openxmlformats.org/officeDocument/2006/relationships/hyperlink" Target="https://img.alicdn.com/bao/uploaded/i1/2217590670593/O1CN01Wln9D01GFdpkOeMro_!!2217590670593.jpg" TargetMode="External" Id="rId531" /><Relationship Type="http://schemas.openxmlformats.org/officeDocument/2006/relationships/hyperlink" Target="http://item.taobao.com/item.htm?id=805780260524" TargetMode="External" Id="rId532" /><Relationship Type="http://schemas.openxmlformats.org/officeDocument/2006/relationships/hyperlink" Target="https://img.alicdn.com/bao/uploaded/i1/2217590670593/O1CN01Wln9D01GFdpkOeMro_!!2217590670593.jpg" TargetMode="External" Id="rId533" /><Relationship Type="http://schemas.openxmlformats.org/officeDocument/2006/relationships/hyperlink" Target="http://item.taobao.com/item.htm?id=805780260524" TargetMode="External" Id="rId534" /><Relationship Type="http://schemas.openxmlformats.org/officeDocument/2006/relationships/hyperlink" Target="https://img.alicdn.com/bao/uploaded/i1/2217590670593/O1CN01Wln9D01GFdpkOeMro_!!2217590670593.jpg" TargetMode="External" Id="rId535" /><Relationship Type="http://schemas.openxmlformats.org/officeDocument/2006/relationships/hyperlink" Target="http://item.taobao.com/item.htm?id=805780260524" TargetMode="External" Id="rId536" /><Relationship Type="http://schemas.openxmlformats.org/officeDocument/2006/relationships/hyperlink" Target="https://img.alicdn.com/bao/uploaded/i1/2217590670593/O1CN01ajY5uO1GFdpep88cl_!!2217590670593.jpg" TargetMode="External" Id="rId537" /><Relationship Type="http://schemas.openxmlformats.org/officeDocument/2006/relationships/hyperlink" Target="http://item.taobao.com/item.htm?id=806083527517" TargetMode="External" Id="rId538" /><Relationship Type="http://schemas.openxmlformats.org/officeDocument/2006/relationships/hyperlink" Target="https://img.alicdn.com/bao/uploaded/i1/2217590670593/O1CN01ajY5uO1GFdpep88cl_!!2217590670593.jpg" TargetMode="External" Id="rId539" /><Relationship Type="http://schemas.openxmlformats.org/officeDocument/2006/relationships/hyperlink" Target="http://item.taobao.com/item.htm?id=806083527517" TargetMode="External" Id="rId540" /><Relationship Type="http://schemas.openxmlformats.org/officeDocument/2006/relationships/hyperlink" Target="https://img.alicdn.com/bao/uploaded/i1/2217590670593/O1CN01ajY5uO1GFdpep88cl_!!2217590670593.jpg" TargetMode="External" Id="rId541" /><Relationship Type="http://schemas.openxmlformats.org/officeDocument/2006/relationships/hyperlink" Target="http://item.taobao.com/item.htm?id=806083527517" TargetMode="External" Id="rId542" /><Relationship Type="http://schemas.openxmlformats.org/officeDocument/2006/relationships/hyperlink" Target="https://img.alicdn.com/bao/uploaded/i1/2217590670593/O1CN011L7dBF1GFdpiDXty9_!!2217590670593.jpg" TargetMode="External" Id="rId543" /><Relationship Type="http://schemas.openxmlformats.org/officeDocument/2006/relationships/hyperlink" Target="http://item.taobao.com/item.htm?id=808287141266" TargetMode="External" Id="rId544" /><Relationship Type="http://schemas.openxmlformats.org/officeDocument/2006/relationships/hyperlink" Target="https://img.alicdn.com/bao/uploaded/i1/2217590670593/O1CN011L7dBF1GFdpiDXty9_!!2217590670593.jpg" TargetMode="External" Id="rId545" /><Relationship Type="http://schemas.openxmlformats.org/officeDocument/2006/relationships/hyperlink" Target="http://item.taobao.com/item.htm?id=808287141266" TargetMode="External" Id="rId546" /><Relationship Type="http://schemas.openxmlformats.org/officeDocument/2006/relationships/hyperlink" Target="https://img.alicdn.com/bao/uploaded/i1/2217590670593/O1CN011L7dBF1GFdpiDXty9_!!2217590670593.jpg" TargetMode="External" Id="rId547" /><Relationship Type="http://schemas.openxmlformats.org/officeDocument/2006/relationships/hyperlink" Target="http://item.taobao.com/item.htm?id=808287141266" TargetMode="External" Id="rId548" /><Relationship Type="http://schemas.openxmlformats.org/officeDocument/2006/relationships/hyperlink" Target="https://img.alicdn.com/bao/uploaded/i1/2217590670593/O1CN011L7dBF1GFdpiDXty9_!!2217590670593.jpg" TargetMode="External" Id="rId549" /><Relationship Type="http://schemas.openxmlformats.org/officeDocument/2006/relationships/hyperlink" Target="http://item.taobao.com/item.htm?id=808287141266" TargetMode="External" Id="rId550" /><Relationship Type="http://schemas.openxmlformats.org/officeDocument/2006/relationships/hyperlink" Target="https://img.alicdn.com/bao/uploaded/i1/2217590670593/O1CN011L7dBF1GFdpiDXty9_!!2217590670593.jpg" TargetMode="External" Id="rId551" /><Relationship Type="http://schemas.openxmlformats.org/officeDocument/2006/relationships/hyperlink" Target="http://item.taobao.com/item.htm?id=808287141266" TargetMode="External" Id="rId552" /><Relationship Type="http://schemas.openxmlformats.org/officeDocument/2006/relationships/hyperlink" Target="https://img.alicdn.com/bao/uploaded/i1/2217590670593/O1CN011L7dBF1GFdpiDXty9_!!2217590670593.jpg" TargetMode="External" Id="rId553" /><Relationship Type="http://schemas.openxmlformats.org/officeDocument/2006/relationships/hyperlink" Target="http://item.taobao.com/item.htm?id=808287141266" TargetMode="External" Id="rId554" /></Relationships>
</file>

<file path=xl/worksheets/_rels/sheet7.xml.rels><Relationships xmlns="http://schemas.openxmlformats.org/package/2006/relationships"><Relationship Type="http://schemas.openxmlformats.org/officeDocument/2006/relationships/hyperlink" Target="https://img.alicdn.com/bao/uploaded/i1/2217590670593/O1CN014SZXqr1GFdzaJafbf~crop,0,57,1440,1440~_!!2217590670593.jpg" TargetMode="External" Id="rId1" /><Relationship Type="http://schemas.openxmlformats.org/officeDocument/2006/relationships/hyperlink" Target="https://img.alicdn.com/bao/uploaded/i1/2217590670593/O1CN014SZXqr1GFdzaJafbf~crop,0,57,1440,1440~_!!2217590670593.jpg" TargetMode="External" Id="rId2" /><Relationship Type="http://schemas.openxmlformats.org/officeDocument/2006/relationships/hyperlink" Target="https://img.alicdn.com/bao/uploaded/i1/2217590670593/O1CN014SZXqr1GFdzaJafbf~crop,0,57,1440,1440~_!!2217590670593.jpg" TargetMode="External" Id="rId3" /><Relationship Type="http://schemas.openxmlformats.org/officeDocument/2006/relationships/hyperlink" Target="https://img.alicdn.com/bao/uploaded/i3/2217590670593/O1CN013VOeEz1GFdzbUPeAA~crop,0,240,1440,1440~_!!2217590670593.jpg" TargetMode="External" Id="rId4" /><Relationship Type="http://schemas.openxmlformats.org/officeDocument/2006/relationships/hyperlink" Target="https://img.alicdn.com/bao/uploaded/i3/2217590670593/O1CN013VOeEz1GFdzbUPeAA~crop,0,240,1440,1440~_!!2217590670593.jpg" TargetMode="External" Id="rId5" /><Relationship Type="http://schemas.openxmlformats.org/officeDocument/2006/relationships/hyperlink" Target="https://img.alicdn.com/bao/uploaded/i2/2217590670593/O1CN01xgSwHZ1GFdzaMGyRv~crop,0,240,1440,1440~_!!2217590670593.jpg" TargetMode="External" Id="rId6" /><Relationship Type="http://schemas.openxmlformats.org/officeDocument/2006/relationships/hyperlink" Target="https://img.alicdn.com/bao/uploaded/i2/2217590670593/O1CN01CHDMQM1GFdzZvCfJO~crop,0,240,1440,1440~_!!2217590670593.jpg" TargetMode="External" Id="rId7" /><Relationship Type="http://schemas.openxmlformats.org/officeDocument/2006/relationships/hyperlink" Target="https://img.alicdn.com/bao/uploaded/i2/2217590670593/O1CN01xgSwHZ1GFdzaMGyRv~crop,0,240,1440,1440~_!!2217590670593.jpg" TargetMode="External" Id="rId8" /><Relationship Type="http://schemas.openxmlformats.org/officeDocument/2006/relationships/hyperlink" Target="https://img.alicdn.com/bao/uploaded/i2/2217590670593/O1CN01CHDMQM1GFdzZvCfJO~crop,0,240,1440,1440~_!!2217590670593.jpg" TargetMode="External" Id="rId9" /><Relationship Type="http://schemas.openxmlformats.org/officeDocument/2006/relationships/hyperlink" Target="https://img.alicdn.com/bao/uploaded/i3/2217590670593/O1CN01o0MRbu1GFdza9nw57~crop,0,240,1440,1440~_!!2217590670593.jpg" TargetMode="External" Id="rId10" /><Relationship Type="http://schemas.openxmlformats.org/officeDocument/2006/relationships/hyperlink" Target="https://img.alicdn.com/bao/uploaded/i3/2217590670593/O1CN01o0MRbu1GFdza9nw57~crop,0,240,1440,1440~_!!2217590670593.jpg" TargetMode="External" Id="rId11" /><Relationship Type="http://schemas.openxmlformats.org/officeDocument/2006/relationships/hyperlink" Target="https://img.alicdn.com/bao/uploaded/i4/2217590670593/O1CN01oHujxO1GFdzZY3erp~crop,0,240,1440,1440~_!!2217590670593.jpg" TargetMode="External" Id="rId12" /><Relationship Type="http://schemas.openxmlformats.org/officeDocument/2006/relationships/hyperlink" Target="https://img.alicdn.com/bao/uploaded/i4/2217590670593/O1CN01oHujxO1GFdzZY3erp~crop,0,240,1440,1440~_!!2217590670593.jpg" TargetMode="External" Id="rId13" /><Relationship Type="http://schemas.openxmlformats.org/officeDocument/2006/relationships/hyperlink" Target="https://img.alicdn.com/bao/uploaded/i1/2217590670593/O1CN01Zq2rL21GFdzYTEnrj~crop,0,240,1440,1440~_!!2217590670593.jpg" TargetMode="External" Id="rId14" /><Relationship Type="http://schemas.openxmlformats.org/officeDocument/2006/relationships/hyperlink" Target="https://img.alicdn.com/bao/uploaded/i1/2217590670593/O1CN01Zq2rL21GFdzYTEnrj~crop,0,240,1440,1440~_!!2217590670593.jpg" TargetMode="External" Id="rId15" /><Relationship Type="http://schemas.openxmlformats.org/officeDocument/2006/relationships/hyperlink" Target="https://img.alicdn.com/bao/uploaded/i2/2217590670593/O1CN01WXGH4F1GFdzZfAj0W~crop,0,240,1440,1440~_!!2217590670593.jpg" TargetMode="External" Id="rId16" /><Relationship Type="http://schemas.openxmlformats.org/officeDocument/2006/relationships/hyperlink" Target="https://img.alicdn.com/bao/uploaded/i3/2217590670593/O1CN01L1894W1GFdzY9x5hR~crop,0,272,1440,1440~_!!2217590670593.jpg" TargetMode="External" Id="rId17" /><Relationship Type="http://schemas.openxmlformats.org/officeDocument/2006/relationships/hyperlink" Target="https://img.alicdn.com/bao/uploaded/i2/2217590670593/O1CN01WXGH4F1GFdzZfAj0W~crop,0,240,1440,1440~_!!2217590670593.jpg" TargetMode="External" Id="rId18" /><Relationship Type="http://schemas.openxmlformats.org/officeDocument/2006/relationships/hyperlink" Target="https://img.alicdn.com/bao/uploaded/i3/2217590670593/O1CN01L1894W1GFdzY9x5hR~crop,0,272,1440,1440~_!!2217590670593.jpg" TargetMode="External" Id="rId19" /><Relationship Type="http://schemas.openxmlformats.org/officeDocument/2006/relationships/hyperlink" Target="https://img.alicdn.com/bao/uploaded/i3/2217590670593/O1CN016nYahe1GFdzT5lPPd~crop,0,240,1440,1440~_!!2217590670593.jpg" TargetMode="External" Id="rId20" /><Relationship Type="http://schemas.openxmlformats.org/officeDocument/2006/relationships/hyperlink" Target="https://img.alicdn.com/bao/uploaded/i3/2217590670593/O1CN016nYahe1GFdzT5lPPd~crop,0,240,1440,1440~_!!2217590670593.jpg" TargetMode="External" Id="rId21" /><Relationship Type="http://schemas.openxmlformats.org/officeDocument/2006/relationships/hyperlink" Target="https://img.alicdn.com/bao/uploaded/i4/2217590670593/O1CN01h73obi1GFdzY9wUH1~crop,0,240,1440,1440~_!!2217590670593.jpg" TargetMode="External" Id="rId22" /><Relationship Type="http://schemas.openxmlformats.org/officeDocument/2006/relationships/hyperlink" Target="https://img.alicdn.com/bao/uploaded/i4/2217590670593/O1CN01h73obi1GFdzY9wUH1~crop,0,240,1440,1440~_!!2217590670593.jpg" TargetMode="External" Id="rId23" /><Relationship Type="http://schemas.openxmlformats.org/officeDocument/2006/relationships/hyperlink" Target="https://img.alicdn.com/bao/uploaded/i3/2217590670593/O1CN017tTbD11GFdza9VsTd_!!2217590670593.jpg" TargetMode="External" Id="rId24" /><Relationship Type="http://schemas.openxmlformats.org/officeDocument/2006/relationships/hyperlink" Target="https://img.alicdn.com/bao/uploaded/i1/2217590670593/O1CN01UbZdB11GFdzY9yIY0_!!2217590670593.jpg" TargetMode="External" Id="rId25" /><Relationship Type="http://schemas.openxmlformats.org/officeDocument/2006/relationships/hyperlink" Target="https://img.alicdn.com/bao/uploaded/i3/2217590670593/O1CN017tTbD11GFdza9VsTd_!!2217590670593.jpg" TargetMode="External" Id="rId26" /><Relationship Type="http://schemas.openxmlformats.org/officeDocument/2006/relationships/hyperlink" Target="https://img.alicdn.com/bao/uploaded/i1/2217590670593/O1CN01UbZdB11GFdzY9yIY0_!!2217590670593.jpg" TargetMode="External" Id="rId27" /><Relationship Type="http://schemas.openxmlformats.org/officeDocument/2006/relationships/hyperlink" Target="https://img.alicdn.com/bao/uploaded/i3/2217590670593/O1CN01FYMQjf1GFdzaHLzdh~crop,0,240,1440,1440~_!!2217590670593.jpg" TargetMode="External" Id="rId28" /><Relationship Type="http://schemas.openxmlformats.org/officeDocument/2006/relationships/hyperlink" Target="https://img.alicdn.com/bao/uploaded/i2/2217590670593/O1CN01DvvU2M1GFdza9VsSV~crop,0,240,1440,1440~_!!2217590670593.jpg" TargetMode="External" Id="rId29" /><Relationship Type="http://schemas.openxmlformats.org/officeDocument/2006/relationships/hyperlink" Target="https://img.alicdn.com/bao/uploaded/i3/2217590670593/O1CN01FYMQjf1GFdzaHLzdh~crop,0,240,1440,1440~_!!2217590670593.jpg" TargetMode="External" Id="rId30" /><Relationship Type="http://schemas.openxmlformats.org/officeDocument/2006/relationships/hyperlink" Target="https://img.alicdn.com/bao/uploaded/i2/2217590670593/O1CN01DvvU2M1GFdza9VsSV~crop,0,240,1440,1440~_!!2217590670593.jpg" TargetMode="External" Id="rId31" /><Relationship Type="http://schemas.openxmlformats.org/officeDocument/2006/relationships/hyperlink" Target="https://img.alicdn.com/bao/uploaded/i2/2217590670593/O1CN01HkMjGd1GFdxr0siAz_!!2217590670593.jpg" TargetMode="External" Id="rId32" /><Relationship Type="http://schemas.openxmlformats.org/officeDocument/2006/relationships/hyperlink" Target="https://img.alicdn.com/bao/uploaded/i3/2217590670593/O1CN015vimVE1GFdxqYS9dc_!!2217590670593.jpg" TargetMode="External" Id="rId33" /><Relationship Type="http://schemas.openxmlformats.org/officeDocument/2006/relationships/hyperlink" Target="https://img.alicdn.com/bao/uploaded/i4/2217590670593/O1CN01vkJdAW1GFdxnu1spI_!!2217590670593.jpg" TargetMode="External" Id="rId34" /><Relationship Type="http://schemas.openxmlformats.org/officeDocument/2006/relationships/hyperlink" Target="https://img.alicdn.com/bao/uploaded/i4/2217590670593/O1CN01vkJdAW1GFdxnu1spI_!!2217590670593.jpg" TargetMode="External" Id="rId35" /><Relationship Type="http://schemas.openxmlformats.org/officeDocument/2006/relationships/hyperlink" Target="https://img.alicdn.com/bao/uploaded/i4/2217590670593/O1CN01vkJdAW1GFdxnu1spI_!!2217590670593.jpg" TargetMode="External" Id="rId36" /><Relationship Type="http://schemas.openxmlformats.org/officeDocument/2006/relationships/hyperlink" Target="https://img.alicdn.com/bao/uploaded/i2/2217590670593/O1CN0156NeXW1GFdxtsQrA6_!!2217590670593.jpg" TargetMode="External" Id="rId37" /><Relationship Type="http://schemas.openxmlformats.org/officeDocument/2006/relationships/hyperlink" Target="https://img.alicdn.com/bao/uploaded/i2/2217590670593/O1CN0156NeXW1GFdxtsQrA6_!!2217590670593.jpg" TargetMode="External" Id="rId38" /><Relationship Type="http://schemas.openxmlformats.org/officeDocument/2006/relationships/hyperlink" Target="https://img.alicdn.com/bao/uploaded/i2/2217590670593/O1CN0156NeXW1GFdxtsQrA6_!!2217590670593.jpg" TargetMode="External" Id="rId39" /><Relationship Type="http://schemas.openxmlformats.org/officeDocument/2006/relationships/hyperlink" Target="https://img.alicdn.com/bao/uploaded/i2/2217590670593/O1CN01X0OYkB1GFdxtQI9X2_!!2217590670593.jpg" TargetMode="External" Id="rId40" /><Relationship Type="http://schemas.openxmlformats.org/officeDocument/2006/relationships/hyperlink" Target="https://img.alicdn.com/bao/uploaded/i2/2217590670593/O1CN01X0OYkB1GFdxtQI9X2_!!2217590670593.jpg" TargetMode="External" Id="rId41" /><Relationship Type="http://schemas.openxmlformats.org/officeDocument/2006/relationships/hyperlink" Target="https://img.alicdn.com/bao/uploaded/i2/2217590670593/O1CN01LEwkCd1GFdxuLUYPe_!!2217590670593.jpg" TargetMode="External" Id="rId42" /><Relationship Type="http://schemas.openxmlformats.org/officeDocument/2006/relationships/hyperlink" Target="https://img.alicdn.com/bao/uploaded/i2/2217590670593/O1CN01LEwkCd1GFdxuLUYPe_!!2217590670593.jpg" TargetMode="External" Id="rId43" /><Relationship Type="http://schemas.openxmlformats.org/officeDocument/2006/relationships/hyperlink" Target="https://img.alicdn.com/bao/uploaded/i4/2217590670593/O1CN01UQDPoQ1GFdyf8q7gg_!!2217590670593.jpg" TargetMode="External" Id="rId44" /><Relationship Type="http://schemas.openxmlformats.org/officeDocument/2006/relationships/hyperlink" Target="https://img.alicdn.com/bao/uploaded/i4/2217590670593/O1CN01UQDPoQ1GFdyf8q7gg_!!2217590670593.jpg" TargetMode="External" Id="rId45" /><Relationship Type="http://schemas.openxmlformats.org/officeDocument/2006/relationships/hyperlink" Target="https://img.alicdn.com/bao/uploaded/i3/2217590670593/O1CN01724Z3D1GFdxodGxy2_!!2217590670593.jpg" TargetMode="External" Id="rId46" /><Relationship Type="http://schemas.openxmlformats.org/officeDocument/2006/relationships/hyperlink" Target="https://img.alicdn.com/bao/uploaded/i3/2217590670593/O1CN01724Z3D1GFdxodGxy2_!!2217590670593.jpg" TargetMode="External" Id="rId47" /><Relationship Type="http://schemas.openxmlformats.org/officeDocument/2006/relationships/hyperlink" Target="https://img.alicdn.com/bao/uploaded/i2/2217590670593/O1CN01HkMjGd1GFdxr0siAz_!!2217590670593.jpg" TargetMode="External" Id="rId48" /><Relationship Type="http://schemas.openxmlformats.org/officeDocument/2006/relationships/hyperlink" Target="https://img.alicdn.com/bao/uploaded/i3/2217590670593/O1CN015vimVE1GFdxqYS9dc_!!2217590670593.jpg" TargetMode="External" Id="rId49" /><Relationship Type="http://schemas.openxmlformats.org/officeDocument/2006/relationships/hyperlink" Target="https://img.alicdn.com/bao/uploaded/i2/2217590670593/O1CN01HkMjGd1GFdxr0siAz_!!2217590670593.jpg" TargetMode="External" Id="rId50" /><Relationship Type="http://schemas.openxmlformats.org/officeDocument/2006/relationships/hyperlink" Target="https://img.alicdn.com/bao/uploaded/i3/2217590670593/O1CN015vimVE1GFdxqYS9dc_!!2217590670593.jpg" TargetMode="External" Id="rId51" /><Relationship Type="http://schemas.openxmlformats.org/officeDocument/2006/relationships/hyperlink" Target="https://img.alicdn.com/bao/uploaded/i4/2217590670593/O1CN01wJcGZl1GFdsW6QPHZ_!!2217590670593.jpg" TargetMode="External" Id="rId52" /><Relationship Type="http://schemas.openxmlformats.org/officeDocument/2006/relationships/hyperlink" Target="https://img.alicdn.com/bao/uploaded/i4/2217590670593/O1CN01wJcGZl1GFdsW6QPHZ_!!2217590670593.jpg" TargetMode="External" Id="rId53" /><Relationship Type="http://schemas.openxmlformats.org/officeDocument/2006/relationships/hyperlink" Target="https://img.alicdn.com/bao/uploaded/i4/2217590670593/O1CN01NruOcS1GFdxuGZa9y_!!2217590670593.jpg" TargetMode="External" Id="rId54" /><Relationship Type="http://schemas.openxmlformats.org/officeDocument/2006/relationships/hyperlink" Target="https://img.alicdn.com/bao/uploaded/i4/2217590670593/O1CN01NruOcS1GFdxuGZa9y_!!2217590670593.jpg" TargetMode="External" Id="rId55" /><Relationship Type="http://schemas.openxmlformats.org/officeDocument/2006/relationships/hyperlink" Target="https://img.alicdn.com/bao/uploaded/i3/2217590670593/O1CN01XhsTNh1GFdxo6hI1k_!!2217590670593.jpg" TargetMode="External" Id="rId56" /><Relationship Type="http://schemas.openxmlformats.org/officeDocument/2006/relationships/hyperlink" Target="https://img.alicdn.com/bao/uploaded/i3/2217590670593/O1CN01i4vC8Q1GFdxpQ8ynz_!!2217590670593.jpg" TargetMode="External" Id="rId57" /><Relationship Type="http://schemas.openxmlformats.org/officeDocument/2006/relationships/hyperlink" Target="https://img.alicdn.com/bao/uploaded/i3/2217590670593/O1CN01XhsTNh1GFdxo6hI1k_!!2217590670593.jpg" TargetMode="External" Id="rId58" /><Relationship Type="http://schemas.openxmlformats.org/officeDocument/2006/relationships/hyperlink" Target="https://img.alicdn.com/bao/uploaded/i3/2217590670593/O1CN01i4vC8Q1GFdxpQ8ynz_!!2217590670593.jpg" TargetMode="External" Id="rId59" /><Relationship Type="http://schemas.openxmlformats.org/officeDocument/2006/relationships/hyperlink" Target="https://img.alicdn.com/bao/uploaded/i2/2217590670593/O1CN01BCWHxV1GFdxpKku1t_!!2217590670593.jpg" TargetMode="External" Id="rId60" /><Relationship Type="http://schemas.openxmlformats.org/officeDocument/2006/relationships/hyperlink" Target="https://img.alicdn.com/bao/uploaded/i2/2217590670593/O1CN01BCWHxV1GFdxpKku1t_!!2217590670593.jpg" TargetMode="External" Id="rId61" /><Relationship Type="http://schemas.openxmlformats.org/officeDocument/2006/relationships/hyperlink" Target="https://img.alicdn.com/bao/uploaded/i3/2217590670593/O1CN01GHGMes1GFdyL84IxU_!!2217590670593.jpg" TargetMode="External" Id="rId62" /><Relationship Type="http://schemas.openxmlformats.org/officeDocument/2006/relationships/hyperlink" Target="https://img.alicdn.com/bao/uploaded/i3/2217590670593/O1CN01GHGMes1GFdyL84IxU_!!2217590670593.jpg" TargetMode="External" Id="rId63" /><Relationship Type="http://schemas.openxmlformats.org/officeDocument/2006/relationships/hyperlink" Target="https://img.alicdn.com/bao/uploaded/i3/2217590670593/O1CN01Womm751GFdyKz1kKk_!!2217590670593.jpg" TargetMode="External" Id="rId64" /><Relationship Type="http://schemas.openxmlformats.org/officeDocument/2006/relationships/hyperlink" Target="https://img.alicdn.com/bao/uploaded/i3/2217590670593/O1CN01Womm751GFdyKz1kKk_!!2217590670593.jpg" TargetMode="External" Id="rId65" /><Relationship Type="http://schemas.openxmlformats.org/officeDocument/2006/relationships/hyperlink" Target="https://img.alicdn.com/bao/uploaded/i2/2217590670593/O1CN01SEVO7y1GFdxQhadvN_!!2217590670593.jpg" TargetMode="External" Id="rId66" /><Relationship Type="http://schemas.openxmlformats.org/officeDocument/2006/relationships/hyperlink" Target="https://img.alicdn.com/bao/uploaded/i2/2217590670593/O1CN01SEVO7y1GFdxQhadvN_!!2217590670593.jpg" TargetMode="External" Id="rId67" /><Relationship Type="http://schemas.openxmlformats.org/officeDocument/2006/relationships/hyperlink" Target="https://img.alicdn.com/bao/uploaded/i3/2217590670593/O1CN01Y2FkAx1GFdyLoBGdT_!!2217590670593.jpg" TargetMode="External" Id="rId68" /><Relationship Type="http://schemas.openxmlformats.org/officeDocument/2006/relationships/hyperlink" Target="https://img.alicdn.com/bao/uploaded/i3/2217590670593/O1CN01Y2FkAx1GFdyLoBGdT_!!2217590670593.jpg" TargetMode="External" Id="rId69" /><Relationship Type="http://schemas.openxmlformats.org/officeDocument/2006/relationships/hyperlink" Target="https://img.alicdn.com/bao/uploaded/i4/2217590670593/O1CN01iGs4Ko1GFdxS4uOcR_!!2217590670593.jpg" TargetMode="External" Id="rId70" /><Relationship Type="http://schemas.openxmlformats.org/officeDocument/2006/relationships/hyperlink" Target="https://img.alicdn.com/bao/uploaded/i4/2217590670593/O1CN01iGs4Ko1GFdxS4uOcR_!!2217590670593.jpg" TargetMode="External" Id="rId71" /><Relationship Type="http://schemas.openxmlformats.org/officeDocument/2006/relationships/hyperlink" Target="https://img.alicdn.com/bao/uploaded/i4/2217590670593/O1CN01rjhVF31GFdyKzBcj6_!!2217590670593.jpg" TargetMode="External" Id="rId72" /><Relationship Type="http://schemas.openxmlformats.org/officeDocument/2006/relationships/hyperlink" Target="https://img.alicdn.com/bao/uploaded/i4/2217590670593/O1CN01rjhVF31GFdyKzBcj6_!!2217590670593.jpg" TargetMode="External" Id="rId73" /><Relationship Type="http://schemas.openxmlformats.org/officeDocument/2006/relationships/hyperlink" Target="https://img.alicdn.com/bao/uploaded/i3/2217590670593/O1CN012vmpOo1GFdwwmyweb_!!2217590670593.jpg" TargetMode="External" Id="rId74" /><Relationship Type="http://schemas.openxmlformats.org/officeDocument/2006/relationships/hyperlink" Target="https://img.alicdn.com/bao/uploaded/i4/2217590670593/O1CN01g52yMQ1GFdx0brzbm_!!2217590670593.jpg" TargetMode="External" Id="rId75" /><Relationship Type="http://schemas.openxmlformats.org/officeDocument/2006/relationships/hyperlink" Target="https://img.alicdn.com/bao/uploaded/i3/2217590670593/O1CN01RZwv0i1GFdxBBivtA_!!2217590670593.jpg" TargetMode="External" Id="rId76" /><Relationship Type="http://schemas.openxmlformats.org/officeDocument/2006/relationships/hyperlink" Target="https://img.alicdn.com/bao/uploaded/i3/2217590670593/O1CN01RZwv0i1GFdxBBivtA_!!2217590670593.jpg" TargetMode="External" Id="rId77" /><Relationship Type="http://schemas.openxmlformats.org/officeDocument/2006/relationships/hyperlink" Target="https://img.alicdn.com/bao/uploaded/i3/2217590670593/O1CN01RZwv0i1GFdxBBivtA_!!2217590670593.jpg" TargetMode="External" Id="rId78" /><Relationship Type="http://schemas.openxmlformats.org/officeDocument/2006/relationships/hyperlink" Target="https://img.alicdn.com/bao/uploaded/i3/2217590670593/O1CN01RZwv0i1GFdxBBivtA_!!2217590670593.jpg" TargetMode="External" Id="rId79" /><Relationship Type="http://schemas.openxmlformats.org/officeDocument/2006/relationships/hyperlink" Target="https://img.alicdn.com/bao/uploaded/i4/2217590670593/O1CN01yjUReo1GFdx1hYVgl_!!2217590670593.jpg" TargetMode="External" Id="rId80" /><Relationship Type="http://schemas.openxmlformats.org/officeDocument/2006/relationships/hyperlink" Target="https://img.alicdn.com/bao/uploaded/i1/2217590670593/O1CN019qHJlo1GFdx12brW4_!!2217590670593.jpg" TargetMode="External" Id="rId81" /><Relationship Type="http://schemas.openxmlformats.org/officeDocument/2006/relationships/hyperlink" Target="https://img.alicdn.com/bao/uploaded/i4/2217590670593/O1CN01yjUReo1GFdx1hYVgl_!!2217590670593.jpg" TargetMode="External" Id="rId82" /><Relationship Type="http://schemas.openxmlformats.org/officeDocument/2006/relationships/hyperlink" Target="https://img.alicdn.com/bao/uploaded/i1/2217590670593/O1CN019qHJlo1GFdx12brW4_!!2217590670593.jpg" TargetMode="External" Id="rId83" /><Relationship Type="http://schemas.openxmlformats.org/officeDocument/2006/relationships/hyperlink" Target="https://img.alicdn.com/bao/uploaded/i4/2217590670593/O1CN01yjUReo1GFdx1hYVgl_!!2217590670593.jpg" TargetMode="External" Id="rId84" /><Relationship Type="http://schemas.openxmlformats.org/officeDocument/2006/relationships/hyperlink" Target="https://img.alicdn.com/bao/uploaded/i1/2217590670593/O1CN019qHJlo1GFdx12brW4_!!2217590670593.jpg" TargetMode="External" Id="rId85" /><Relationship Type="http://schemas.openxmlformats.org/officeDocument/2006/relationships/hyperlink" Target="https://img.alicdn.com/bao/uploaded/i1/2217590670593/O1CN01wihPxS1GFdwvCQXKy_!!2217590670593.jpg" TargetMode="External" Id="rId86" /><Relationship Type="http://schemas.openxmlformats.org/officeDocument/2006/relationships/hyperlink" Target="https://img.alicdn.com/bao/uploaded/i1/2217590670593/O1CN01wihPxS1GFdwvCQXKy_!!2217590670593.jpg" TargetMode="External" Id="rId87" /><Relationship Type="http://schemas.openxmlformats.org/officeDocument/2006/relationships/hyperlink" Target="https://img.alicdn.com/bao/uploaded/i4/2217590670593/O1CN01eVMZOI1GFdsWomFSu_!!2217590670593.jpg" TargetMode="External" Id="rId88" /><Relationship Type="http://schemas.openxmlformats.org/officeDocument/2006/relationships/hyperlink" Target="https://img.alicdn.com/bao/uploaded/i4/2217590670593/O1CN01eVMZOI1GFdsWomFSu_!!2217590670593.jpg" TargetMode="External" Id="rId89" /><Relationship Type="http://schemas.openxmlformats.org/officeDocument/2006/relationships/hyperlink" Target="https://img.alicdn.com/bao/uploaded/i2/2217590670593/O1CN01uKNQeD1GFdwzZUDc8_!!2217590670593.jpg" TargetMode="External" Id="rId90" /><Relationship Type="http://schemas.openxmlformats.org/officeDocument/2006/relationships/hyperlink" Target="https://img.alicdn.com/bao/uploaded/i2/2217590670593/O1CN01uKNQeD1GFdwzZUDc8_!!2217590670593.jpg" TargetMode="External" Id="rId91" /><Relationship Type="http://schemas.openxmlformats.org/officeDocument/2006/relationships/hyperlink" Target="https://img.alicdn.com/bao/uploaded/i3/2217590670593/O1CN01RQaGbH1GFdwvGSLnf_!!2217590670593.jpg" TargetMode="External" Id="rId92" /><Relationship Type="http://schemas.openxmlformats.org/officeDocument/2006/relationships/hyperlink" Target="https://img.alicdn.com/bao/uploaded/i3/2217590670593/O1CN01RQaGbH1GFdwvGSLnf_!!2217590670593.jpg" TargetMode="External" Id="rId93" /><Relationship Type="http://schemas.openxmlformats.org/officeDocument/2006/relationships/hyperlink" Target="https://img.alicdn.com/bao/uploaded/i1/2217590670593/O1CN01qbhRsy1GFdx02nM70_!!2217590670593.jpg" TargetMode="External" Id="rId94" /><Relationship Type="http://schemas.openxmlformats.org/officeDocument/2006/relationships/hyperlink" Target="https://img.alicdn.com/bao/uploaded/i1/2217590670593/O1CN01qbhRsy1GFdx02nM70_!!2217590670593.jpg" TargetMode="External" Id="rId95" /><Relationship Type="http://schemas.openxmlformats.org/officeDocument/2006/relationships/hyperlink" Target="https://img.alicdn.com/bao/uploaded/i3/2217590670593/O1CN012vmpOo1GFdwwmyweb_!!2217590670593.jpg" TargetMode="External" Id="rId96" /><Relationship Type="http://schemas.openxmlformats.org/officeDocument/2006/relationships/hyperlink" Target="https://img.alicdn.com/bao/uploaded/i3/2217590670593/O1CN012vmpOo1GFdwwmyweb_!!2217590670593.jpg" TargetMode="External" Id="rId97" /><Relationship Type="http://schemas.openxmlformats.org/officeDocument/2006/relationships/hyperlink" Target="https://img.alicdn.com/bao/uploaded/i4/2217590670593/O1CN01g52yMQ1GFdx0brzbm_!!2217590670593.jpg" TargetMode="External" Id="rId98" /><Relationship Type="http://schemas.openxmlformats.org/officeDocument/2006/relationships/hyperlink" Target="https://img.alicdn.com/bao/uploaded/i4/2217590670593/O1CN01g52yMQ1GFdx0brzbm_!!2217590670593.jpg" TargetMode="External" Id="rId99" /><Relationship Type="http://schemas.openxmlformats.org/officeDocument/2006/relationships/hyperlink" Target="https://img.alicdn.com/bao/uploaded/i1/2217590670593/O1CN01wihPxS1GFdwvCQXKy_!!2217590670593.jpg" TargetMode="External" Id="rId100" /><Relationship Type="http://schemas.openxmlformats.org/officeDocument/2006/relationships/hyperlink" Target="https://img.alicdn.com/bao/uploaded/i1/2217590670593/O1CN01wihPxS1GFdwvCQXKy_!!2217590670593.jpg" TargetMode="External" Id="rId101" /><Relationship Type="http://schemas.openxmlformats.org/officeDocument/2006/relationships/hyperlink" Target="https://img.alicdn.com/bao/uploaded/i3/2217590670593/O1CN01pppdkt1GFdww67oSS_!!2217590670593.jpg" TargetMode="External" Id="rId102" /><Relationship Type="http://schemas.openxmlformats.org/officeDocument/2006/relationships/hyperlink" Target="https://img.alicdn.com/bao/uploaded/i3/2217590670593/O1CN01pppdkt1GFdww67oSS_!!2217590670593.jpg" TargetMode="External" Id="rId103" /><Relationship Type="http://schemas.openxmlformats.org/officeDocument/2006/relationships/hyperlink" Target="https://img.alicdn.com/bao/uploaded/i2/2217590670593/O1CN01qfv5mh1GFdwwcgMbc_!!2217590670593.jpg" TargetMode="External" Id="rId104" /><Relationship Type="http://schemas.openxmlformats.org/officeDocument/2006/relationships/hyperlink" Target="https://img.alicdn.com/bao/uploaded/i2/2217590670593/O1CN01qfv5mh1GFdwwcgMbc_!!2217590670593.jpg" TargetMode="External" Id="rId105" /><Relationship Type="http://schemas.openxmlformats.org/officeDocument/2006/relationships/hyperlink" Target="https://img.alicdn.com/bao/uploaded/i1/2217590670593/O1CN01BnonAW1GFdwvincOo_!!2217590670593.jpg" TargetMode="External" Id="rId106" /><Relationship Type="http://schemas.openxmlformats.org/officeDocument/2006/relationships/hyperlink" Target="https://img.alicdn.com/bao/uploaded/i1/2217590670593/O1CN01BnonAW1GFdwvincOo_!!2217590670593.jpg" TargetMode="External" Id="rId107" /><Relationship Type="http://schemas.openxmlformats.org/officeDocument/2006/relationships/hyperlink" Target="https://img.alicdn.com/bao/uploaded/i4/2217590670593/O1CN01Z5hiwq1GFdv2jmgHC_!!2217590670593.jpg" TargetMode="External" Id="rId108" /><Relationship Type="http://schemas.openxmlformats.org/officeDocument/2006/relationships/hyperlink" Target="https://img.alicdn.com/bao/uploaded/i4/2217590670593/O1CN01Z5hiwq1GFdv2jmgHC_!!2217590670593.jpg" TargetMode="External" Id="rId109" /><Relationship Type="http://schemas.openxmlformats.org/officeDocument/2006/relationships/hyperlink" Target="https://img.alicdn.com/bao/uploaded/i4/2217590670593/O1CN01Z5hiwq1GFdv2jmgHC_!!2217590670593.jpg" TargetMode="External" Id="rId110" /><Relationship Type="http://schemas.openxmlformats.org/officeDocument/2006/relationships/hyperlink" Target="https://img.alicdn.com/bao/uploaded/i1/2217590670593/O1CN01ZmqRQD1GFdwea86Gu_!!2217590670593.jpg" TargetMode="External" Id="rId111" /><Relationship Type="http://schemas.openxmlformats.org/officeDocument/2006/relationships/hyperlink" Target="https://img.alicdn.com/bao/uploaded/i1/2217590670593/O1CN01ZmqRQD1GFdwea86Gu_!!2217590670593.jpg" TargetMode="External" Id="rId112" /><Relationship Type="http://schemas.openxmlformats.org/officeDocument/2006/relationships/hyperlink" Target="https://img.alicdn.com/bao/uploaded/i1/2217590670593/O1CN01ZmqRQD1GFdwea86Gu_!!2217590670593.jpg" TargetMode="External" Id="rId113" /><Relationship Type="http://schemas.openxmlformats.org/officeDocument/2006/relationships/hyperlink" Target="https://img.alicdn.com/bao/uploaded/i4/2217590670593/O1CN01Luzo9Q1GFdvJKTxCd_!!2217590670593.jpg" TargetMode="External" Id="rId114" /><Relationship Type="http://schemas.openxmlformats.org/officeDocument/2006/relationships/hyperlink" Target="https://img.alicdn.com/bao/uploaded/i4/2217590670593/O1CN01Luzo9Q1GFdvJKTxCd_!!2217590670593.jpg" TargetMode="External" Id="rId115" /><Relationship Type="http://schemas.openxmlformats.org/officeDocument/2006/relationships/hyperlink" Target="https://img.alicdn.com/bao/uploaded/i4/2217590670593/O1CN01Luzo9Q1GFdvJKTxCd_!!2217590670593.jpg" TargetMode="External" Id="rId116" /><Relationship Type="http://schemas.openxmlformats.org/officeDocument/2006/relationships/hyperlink" Target="https://img.alicdn.com/bao/uploaded/i3/2217590670593/O1CN01pjwUET1GFdvIbTXoT_!!2217590670593.jpg" TargetMode="External" Id="rId117" /><Relationship Type="http://schemas.openxmlformats.org/officeDocument/2006/relationships/hyperlink" Target="https://img.alicdn.com/bao/uploaded/i3/2217590670593/O1CN01pjwUET1GFdvIbTXoT_!!2217590670593.jpg" TargetMode="External" Id="rId118" /><Relationship Type="http://schemas.openxmlformats.org/officeDocument/2006/relationships/hyperlink" Target="https://img.alicdn.com/bao/uploaded/i3/2217590670593/O1CN01pjwUET1GFdvIbTXoT_!!2217590670593.jpg" TargetMode="External" Id="rId119" /><Relationship Type="http://schemas.openxmlformats.org/officeDocument/2006/relationships/hyperlink" Target="https://img.alicdn.com/bao/uploaded/i1/2217590670593/O1CN01XOHQx81GFdvFKfO81_!!2217590670593.jpg" TargetMode="External" Id="rId120" /><Relationship Type="http://schemas.openxmlformats.org/officeDocument/2006/relationships/hyperlink" Target="https://img.alicdn.com/bao/uploaded/i1/2217590670593/O1CN01XOHQx81GFdvFKfO81_!!2217590670593.jpg" TargetMode="External" Id="rId121" /><Relationship Type="http://schemas.openxmlformats.org/officeDocument/2006/relationships/hyperlink" Target="https://img.alicdn.com/bao/uploaded/i1/2217590670593/O1CN01XOHQx81GFdvFKfO81_!!2217590670593.jpg" TargetMode="External" Id="rId122" /><Relationship Type="http://schemas.openxmlformats.org/officeDocument/2006/relationships/hyperlink" Target="https://img.alicdn.com/bao/uploaded/i1/2217590670593/O1CN01SUUgBd1GFdvIJuDc8_!!2217590670593.jpg" TargetMode="External" Id="rId123" /><Relationship Type="http://schemas.openxmlformats.org/officeDocument/2006/relationships/hyperlink" Target="https://img.alicdn.com/bao/uploaded/i1/2217590670593/O1CN01SUUgBd1GFdvIJuDc8_!!2217590670593.jpg" TargetMode="External" Id="rId124" /><Relationship Type="http://schemas.openxmlformats.org/officeDocument/2006/relationships/hyperlink" Target="https://img.alicdn.com/bao/uploaded/i1/2217590670593/O1CN01SUUgBd1GFdvIJuDc8_!!2217590670593.jpg" TargetMode="External" Id="rId125" /><Relationship Type="http://schemas.openxmlformats.org/officeDocument/2006/relationships/hyperlink" Target="https://img.alicdn.com/bao/uploaded/i2/2217590670593/O1CN01D6jZtM1GFdvGTOTj9_!!2217590670593.jpg" TargetMode="External" Id="rId126" /><Relationship Type="http://schemas.openxmlformats.org/officeDocument/2006/relationships/hyperlink" Target="https://img.alicdn.com/bao/uploaded/i2/2217590670593/O1CN01D6jZtM1GFdvGTOTj9_!!2217590670593.jpg" TargetMode="External" Id="rId127" /><Relationship Type="http://schemas.openxmlformats.org/officeDocument/2006/relationships/hyperlink" Target="https://img.alicdn.com/bao/uploaded/i2/2217590670593/O1CN01D6jZtM1GFdvGTOTj9_!!2217590670593.jpg" TargetMode="External" Id="rId128" /><Relationship Type="http://schemas.openxmlformats.org/officeDocument/2006/relationships/hyperlink" Target="https://img.alicdn.com/bao/uploaded/i2/2217590670593/O1CN01vOjUH81GFdvEnZliX_!!2217590670593.jpg" TargetMode="External" Id="rId129" /><Relationship Type="http://schemas.openxmlformats.org/officeDocument/2006/relationships/hyperlink" Target="https://img.alicdn.com/bao/uploaded/i2/2217590670593/O1CN01vOjUH81GFdvEnZliX_!!2217590670593.jpg" TargetMode="External" Id="rId130" /><Relationship Type="http://schemas.openxmlformats.org/officeDocument/2006/relationships/hyperlink" Target="https://img.alicdn.com/bao/uploaded/i2/2217590670593/O1CN01ddArXZ1GFdvH5SIAc_!!2217590670593.jpg" TargetMode="External" Id="rId131" /><Relationship Type="http://schemas.openxmlformats.org/officeDocument/2006/relationships/hyperlink" Target="https://img.alicdn.com/bao/uploaded/i2/2217590670593/O1CN01ddArXZ1GFdvH5SIAc_!!2217590670593.jpg" TargetMode="External" Id="rId132" /><Relationship Type="http://schemas.openxmlformats.org/officeDocument/2006/relationships/hyperlink" Target="https://img.alicdn.com/bao/uploaded/i2/2217590670593/O1CN01ddArXZ1GFdvH5SIAc_!!2217590670593.jpg" TargetMode="External" Id="rId133" /><Relationship Type="http://schemas.openxmlformats.org/officeDocument/2006/relationships/hyperlink" Target="https://img.alicdn.com/bao/uploaded/i2/2217590670593/O1CN01KMf8nT1GFdvGWLEXg_!!2217590670593.jpg" TargetMode="External" Id="rId134" /><Relationship Type="http://schemas.openxmlformats.org/officeDocument/2006/relationships/hyperlink" Target="https://img.alicdn.com/bao/uploaded/i2/2217590670593/O1CN01KMf8nT1GFdvGWLEXg_!!2217590670593.jpg" TargetMode="External" Id="rId135" /><Relationship Type="http://schemas.openxmlformats.org/officeDocument/2006/relationships/hyperlink" Target="https://img.alicdn.com/bao/uploaded/i2/2217590670593/O1CN01Lv8v0A1GFdvGIMw4T_!!2217590670593.jpg" TargetMode="External" Id="rId136" /><Relationship Type="http://schemas.openxmlformats.org/officeDocument/2006/relationships/hyperlink" Target="https://img.alicdn.com/bao/uploaded/i2/2217590670593/O1CN01Lv8v0A1GFdvGIMw4T_!!2217590670593.jpg" TargetMode="External" Id="rId137" /><Relationship Type="http://schemas.openxmlformats.org/officeDocument/2006/relationships/hyperlink" Target="https://img.alicdn.com/bao/uploaded/i1/2217590670593/O1CN01zjcnfh1GFdvH903hA_!!2217590670593.jpg" TargetMode="External" Id="rId138" /><Relationship Type="http://schemas.openxmlformats.org/officeDocument/2006/relationships/hyperlink" Target="https://img.alicdn.com/bao/uploaded/i1/2217590670593/O1CN01zjcnfh1GFdvH903hA_!!2217590670593.jpg" TargetMode="External" Id="rId139" /><Relationship Type="http://schemas.openxmlformats.org/officeDocument/2006/relationships/hyperlink" Target="https://img.alicdn.com/bao/uploaded/i1/2217590670593/O1CN01zjcnfh1GFdvH903hA_!!2217590670593.jpg" TargetMode="External" Id="rId140" /><Relationship Type="http://schemas.openxmlformats.org/officeDocument/2006/relationships/hyperlink" Target="https://img.alicdn.com/bao/uploaded/i3/2217590670593/O1CN01kWTIAF1GFduxLilgD_!!2217590670593.jpg" TargetMode="External" Id="rId141" /><Relationship Type="http://schemas.openxmlformats.org/officeDocument/2006/relationships/hyperlink" Target="https://img.alicdn.com/bao/uploaded/i3/2217590670593/O1CN01kWTIAF1GFduxLilgD_!!2217590670593.jpg" TargetMode="External" Id="rId142" /><Relationship Type="http://schemas.openxmlformats.org/officeDocument/2006/relationships/hyperlink" Target="https://img.alicdn.com/bao/uploaded/i3/2217590670593/O1CN01kWTIAF1GFduxLilgD_!!2217590670593.jpg" TargetMode="External" Id="rId143" /><Relationship Type="http://schemas.openxmlformats.org/officeDocument/2006/relationships/hyperlink" Target="https://img.alicdn.com/bao/uploaded/i3/2217590670593/O1CN01iwN4oi1GFduwJEaQd_!!2217590670593.jpg" TargetMode="External" Id="rId144" /><Relationship Type="http://schemas.openxmlformats.org/officeDocument/2006/relationships/hyperlink" Target="https://img.alicdn.com/bao/uploaded/i3/2217590670593/O1CN01iwN4oi1GFduwJEaQd_!!2217590670593.jpg" TargetMode="External" Id="rId145" /><Relationship Type="http://schemas.openxmlformats.org/officeDocument/2006/relationships/hyperlink" Target="https://img.alicdn.com/bao/uploaded/i3/2217590670593/O1CN01iwN4oi1GFduwJEaQd_!!2217590670593.jpg" TargetMode="External" Id="rId146" /><Relationship Type="http://schemas.openxmlformats.org/officeDocument/2006/relationships/hyperlink" Target="https://img.alicdn.com/bao/uploaded/i3/2217590670593/O1CN01fTxw9U1GFdv3M4DtH_!!2217590670593.jpg" TargetMode="External" Id="rId147" /><Relationship Type="http://schemas.openxmlformats.org/officeDocument/2006/relationships/hyperlink" Target="https://img.alicdn.com/bao/uploaded/i3/2217590670593/O1CN01fTxw9U1GFdv3M4DtH_!!2217590670593.jpg" TargetMode="External" Id="rId148" /><Relationship Type="http://schemas.openxmlformats.org/officeDocument/2006/relationships/hyperlink" Target="https://img.alicdn.com/bao/uploaded/i3/2217590670593/O1CN01fTxw9U1GFdv3M4DtH_!!2217590670593.jpg" TargetMode="External" Id="rId149" /><Relationship Type="http://schemas.openxmlformats.org/officeDocument/2006/relationships/hyperlink" Target="https://img.alicdn.com/bao/uploaded/i3/2217590670593/O1CN01ikfzTQ1GFdupzS8As_!!2217590670593.jpg" TargetMode="External" Id="rId150" /><Relationship Type="http://schemas.openxmlformats.org/officeDocument/2006/relationships/hyperlink" Target="https://img.alicdn.com/bao/uploaded/i3/2217590670593/O1CN01ikfzTQ1GFdupzS8As_!!2217590670593.jpg" TargetMode="External" Id="rId151" /><Relationship Type="http://schemas.openxmlformats.org/officeDocument/2006/relationships/hyperlink" Target="https://img.alicdn.com/bao/uploaded/i3/2217590670593/O1CN01ikfzTQ1GFdupzS8As_!!2217590670593.jpg" TargetMode="External" Id="rId152" /><Relationship Type="http://schemas.openxmlformats.org/officeDocument/2006/relationships/hyperlink" Target="https://img.alicdn.com/bao/uploaded/i2/2217590670593/O1CN01tiG55f1GFduxTzyep_!!2217590670593.jpg" TargetMode="External" Id="rId153" /><Relationship Type="http://schemas.openxmlformats.org/officeDocument/2006/relationships/hyperlink" Target="https://img.alicdn.com/bao/uploaded/i2/2217590670593/O1CN01tiG55f1GFduxTzyep_!!2217590670593.jpg" TargetMode="External" Id="rId154" /><Relationship Type="http://schemas.openxmlformats.org/officeDocument/2006/relationships/hyperlink" Target="https://img.alicdn.com/bao/uploaded/i2/2217590670593/O1CN01tiG55f1GFduxTzyep_!!2217590670593.jpg" TargetMode="External" Id="rId155" /><Relationship Type="http://schemas.openxmlformats.org/officeDocument/2006/relationships/hyperlink" Target="https://img.alicdn.com/bao/uploaded/i3/2217590670593/O1CN01DS26yS1GFdv48J8SF_!!2217590670593.jpg" TargetMode="External" Id="rId156" /><Relationship Type="http://schemas.openxmlformats.org/officeDocument/2006/relationships/hyperlink" Target="https://img.alicdn.com/bao/uploaded/i3/2217590670593/O1CN01DS26yS1GFdv48J8SF_!!2217590670593.jpg" TargetMode="External" Id="rId157" /><Relationship Type="http://schemas.openxmlformats.org/officeDocument/2006/relationships/hyperlink" Target="https://img.alicdn.com/bao/uploaded/i4/2217590670593/O1CN01Ovfj1T1GFdsPe8L4t_!!2217590670593.jpg" TargetMode="External" Id="rId158" /><Relationship Type="http://schemas.openxmlformats.org/officeDocument/2006/relationships/hyperlink" Target="https://img.alicdn.com/bao/uploaded/i4/2217590670593/O1CN01Ovfj1T1GFdsPe8L4t_!!2217590670593.jpg" TargetMode="External" Id="rId159" /><Relationship Type="http://schemas.openxmlformats.org/officeDocument/2006/relationships/hyperlink" Target="https://img.alicdn.com/bao/uploaded/i4/2217590670593/O1CN01Ovfj1T1GFdsPe8L4t_!!2217590670593.jpg" TargetMode="External" Id="rId160" /><Relationship Type="http://schemas.openxmlformats.org/officeDocument/2006/relationships/hyperlink" Target="https://img.alicdn.com/bao/uploaded/i1/2217590670593/O1CN01x0hiMl1GFdsYTf1jo_!!2217590670593.jpg" TargetMode="External" Id="rId161" /><Relationship Type="http://schemas.openxmlformats.org/officeDocument/2006/relationships/hyperlink" Target="https://img.alicdn.com/bao/uploaded/i4/2217590670593/O1CN01eRpCI51GFdsVenbHc_!!2217590670593.jpg" TargetMode="External" Id="rId162" /><Relationship Type="http://schemas.openxmlformats.org/officeDocument/2006/relationships/hyperlink" Target="https://img.alicdn.com/bao/uploaded/i2/2217590670593/O1CN01iX2YZ01GFdsWmirN3_!!2217590670593.jpg" TargetMode="External" Id="rId163" /><Relationship Type="http://schemas.openxmlformats.org/officeDocument/2006/relationships/hyperlink" Target="https://img.alicdn.com/bao/uploaded/i2/2217590670593/O1CN01iX2YZ01GFdsWmirN3_!!2217590670593.jpg" TargetMode="External" Id="rId164" /><Relationship Type="http://schemas.openxmlformats.org/officeDocument/2006/relationships/hyperlink" Target="https://img.alicdn.com/bao/uploaded/i1/2217590670593/O1CN01x0hiMl1GFdsYTf1jo_!!2217590670593.jpg" TargetMode="External" Id="rId165" /><Relationship Type="http://schemas.openxmlformats.org/officeDocument/2006/relationships/hyperlink" Target="https://img.alicdn.com/bao/uploaded/i1/2217590670593/O1CN01x0hiMl1GFdsYTf1jo_!!2217590670593.jpg" TargetMode="External" Id="rId166" /><Relationship Type="http://schemas.openxmlformats.org/officeDocument/2006/relationships/hyperlink" Target="https://img.alicdn.com/bao/uploaded/i4/2217590670593/O1CN01eRpCI51GFdsVenbHc_!!2217590670593.jpg" TargetMode="External" Id="rId167" /><Relationship Type="http://schemas.openxmlformats.org/officeDocument/2006/relationships/hyperlink" Target="https://img.alicdn.com/bao/uploaded/i4/2217590670593/O1CN01eRpCI51GFdsVenbHc_!!2217590670593.jpg" TargetMode="External" Id="rId168" /><Relationship Type="http://schemas.openxmlformats.org/officeDocument/2006/relationships/hyperlink" Target="https://img.alicdn.com/bao/uploaded/i1/2217590670593/O1CN01ClX7Xl1GFdsW9T9YI_!!2217590670593.jpg" TargetMode="External" Id="rId169" /><Relationship Type="http://schemas.openxmlformats.org/officeDocument/2006/relationships/hyperlink" Target="https://img.alicdn.com/bao/uploaded/i1/2217590670593/O1CN01ClX7Xl1GFdsW9T9YI_!!2217590670593.jpg" TargetMode="External" Id="rId170" /><Relationship Type="http://schemas.openxmlformats.org/officeDocument/2006/relationships/hyperlink" Target="https://img.alicdn.com/bao/uploaded/i1/2217590670593/O1CN01J3sSF31GFdsaUwHmD_!!2217590670593.jpg" TargetMode="External" Id="rId171" /><Relationship Type="http://schemas.openxmlformats.org/officeDocument/2006/relationships/hyperlink" Target="https://img.alicdn.com/bao/uploaded/i1/2217590670593/O1CN01J3sSF31GFdsaUwHmD_!!2217590670593.jpg" TargetMode="External" Id="rId172" /><Relationship Type="http://schemas.openxmlformats.org/officeDocument/2006/relationships/hyperlink" Target="https://img.alicdn.com/bao/uploaded/i3/2217590670593/O1CN01TKeckx1GFdscUpHg1_!!2217590670593.jpg" TargetMode="External" Id="rId173" /><Relationship Type="http://schemas.openxmlformats.org/officeDocument/2006/relationships/hyperlink" Target="https://img.alicdn.com/bao/uploaded/i3/2217590670593/O1CN01TKeckx1GFdscUpHg1_!!2217590670593.jpg" TargetMode="External" Id="rId174" /><Relationship Type="http://schemas.openxmlformats.org/officeDocument/2006/relationships/hyperlink" Target="https://img.alicdn.com/bao/uploaded/i1/2217590670593/O1CN01jFreBd1GFdsejACNL_!!2217590670593.jpg" TargetMode="External" Id="rId175" /><Relationship Type="http://schemas.openxmlformats.org/officeDocument/2006/relationships/hyperlink" Target="https://img.alicdn.com/bao/uploaded/i1/2217590670593/O1CN01jFreBd1GFdsejACNL_!!2217590670593.jpg" TargetMode="External" Id="rId176" /><Relationship Type="http://schemas.openxmlformats.org/officeDocument/2006/relationships/hyperlink" Target="https://img.alicdn.com/bao/uploaded/i4/2217590670593/O1CN01eVMZOI1GFdsWomFSu_!!2217590670593.jpg" TargetMode="External" Id="rId177" /><Relationship Type="http://schemas.openxmlformats.org/officeDocument/2006/relationships/hyperlink" Target="https://img.alicdn.com/bao/uploaded/i4/2217590670593/O1CN01eVMZOI1GFdsWomFSu_!!2217590670593.jpg" TargetMode="External" Id="rId178" /><Relationship Type="http://schemas.openxmlformats.org/officeDocument/2006/relationships/hyperlink" Target="https://img.alicdn.com/bao/uploaded/i1/2217590670593/O1CN01yG94oZ1GFdsW2W2UZ_!!2217590670593.jpg" TargetMode="External" Id="rId179" /><Relationship Type="http://schemas.openxmlformats.org/officeDocument/2006/relationships/hyperlink" Target="https://img.alicdn.com/bao/uploaded/i1/2217590670593/O1CN01yG94oZ1GFdsW2W2UZ_!!2217590670593.jpg" TargetMode="External" Id="rId180" /><Relationship Type="http://schemas.openxmlformats.org/officeDocument/2006/relationships/hyperlink" Target="https://img.alicdn.com/bao/uploaded/i4/2217590670593/O1CN012PnAfO1GFdsWUKzqM_!!2217590670593.jpg" TargetMode="External" Id="rId181" /><Relationship Type="http://schemas.openxmlformats.org/officeDocument/2006/relationships/hyperlink" Target="https://img.alicdn.com/bao/uploaded/i4/2217590670593/O1CN012PnAfO1GFdsWUKzqM_!!2217590670593.jpg" TargetMode="External" Id="rId182" /><Relationship Type="http://schemas.openxmlformats.org/officeDocument/2006/relationships/hyperlink" Target="https://img.alicdn.com/bao/uploaded/i4/2217590670593/O1CN01wJcGZl1GFdsW6QPHZ_!!2217590670593.jpg" TargetMode="External" Id="rId183" /><Relationship Type="http://schemas.openxmlformats.org/officeDocument/2006/relationships/hyperlink" Target="https://img.alicdn.com/bao/uploaded/i4/2217590670593/O1CN01wJcGZl1GFdsW6QPHZ_!!2217590670593.jpg" TargetMode="External" Id="rId184" /><Relationship Type="http://schemas.openxmlformats.org/officeDocument/2006/relationships/hyperlink" Target="https://img.alicdn.com/bao/uploaded/i4/2217590670593/O1CN01eRpCI51GFdsVenbHc_!!2217590670593.jpg" TargetMode="External" Id="rId185" /><Relationship Type="http://schemas.openxmlformats.org/officeDocument/2006/relationships/hyperlink" Target="https://img.alicdn.com/bao/uploaded/i4/2217590670593/O1CN01eRpCI51GFdsVenbHc_!!2217590670593.jpg" TargetMode="External" Id="rId186" /><Relationship Type="http://schemas.openxmlformats.org/officeDocument/2006/relationships/hyperlink" Target="https://img.alicdn.com/bao/uploaded/i1/2217590670593/O1CN01gQvtbb1GFdsW0DTFJ_!!2217590670593.jpg" TargetMode="External" Id="rId187" /><Relationship Type="http://schemas.openxmlformats.org/officeDocument/2006/relationships/hyperlink" Target="https://img.alicdn.com/bao/uploaded/i1/2217590670593/O1CN01gQvtbb1GFdsW0DTFJ_!!2217590670593.jpg" TargetMode="External" Id="rId188" /><Relationship Type="http://schemas.openxmlformats.org/officeDocument/2006/relationships/hyperlink" Target="https://img.alicdn.com/bao/uploaded/i2/2217590670593/O1CN01OgaxZa1GFdspjbGwO_!!2217590670593.jpg" TargetMode="External" Id="rId189" /><Relationship Type="http://schemas.openxmlformats.org/officeDocument/2006/relationships/hyperlink" Target="https://img.alicdn.com/bao/uploaded/i2/2217590670593/O1CN01OgaxZa1GFdspjbGwO_!!2217590670593.jpg" TargetMode="External" Id="rId190" /><Relationship Type="http://schemas.openxmlformats.org/officeDocument/2006/relationships/hyperlink" Target="https://img.alicdn.com/bao/uploaded/i2/2217590670593/O1CN01LAVLsC1GFdsXHNbxL_!!2217590670593.jpg" TargetMode="External" Id="rId191" /><Relationship Type="http://schemas.openxmlformats.org/officeDocument/2006/relationships/hyperlink" Target="https://img.alicdn.com/bao/uploaded/i2/2217590670593/O1CN01LAVLsC1GFdsXHNbxL_!!2217590670593.jpg" TargetMode="External" Id="rId192" /><Relationship Type="http://schemas.openxmlformats.org/officeDocument/2006/relationships/hyperlink" Target="https://img.alicdn.com/bao/uploaded/i4/2217590670593/O1CN01TMbQMR1GFdsWfnQtb_!!2217590670593.jpg" TargetMode="External" Id="rId193" /><Relationship Type="http://schemas.openxmlformats.org/officeDocument/2006/relationships/hyperlink" Target="https://img.alicdn.com/bao/uploaded/i4/2217590670593/O1CN01TMbQMR1GFdsWfnQtb_!!2217590670593.jpg" TargetMode="External" Id="rId194" /><Relationship Type="http://schemas.openxmlformats.org/officeDocument/2006/relationships/hyperlink" Target="https://img.alicdn.com/bao/uploaded/i2/2217590670593/O1CN01zQJ1mq1GFdsR9pKki_!!2217590670593.jpg" TargetMode="External" Id="rId195" /><Relationship Type="http://schemas.openxmlformats.org/officeDocument/2006/relationships/hyperlink" Target="https://img.alicdn.com/bao/uploaded/i2/2217590670593/O1CN01zQJ1mq1GFdsR9pKki_!!2217590670593.jpg" TargetMode="External" Id="rId196" /><Relationship Type="http://schemas.openxmlformats.org/officeDocument/2006/relationships/hyperlink" Target="https://img.alicdn.com/bao/uploaded/i4/2217590670593/O1CN01AAJFUG1GFdsWvNuBg_!!2217590670593.jpg" TargetMode="External" Id="rId197" /><Relationship Type="http://schemas.openxmlformats.org/officeDocument/2006/relationships/hyperlink" Target="https://img.alicdn.com/bao/uploaded/i4/2217590670593/O1CN01AAJFUG1GFdsWvNuBg_!!2217590670593.jpg" TargetMode="External" Id="rId198" /><Relationship Type="http://schemas.openxmlformats.org/officeDocument/2006/relationships/hyperlink" Target="https://img.alicdn.com/bao/uploaded/i1/2217590670593/O1CN01VrgIYe1GFdsR4FvaG_!!2217590670593.jpg" TargetMode="External" Id="rId199" /><Relationship Type="http://schemas.openxmlformats.org/officeDocument/2006/relationships/hyperlink" Target="https://img.alicdn.com/bao/uploaded/i1/2217590670593/O1CN01VrgIYe1GFdsR4FvaG_!!2217590670593.jpg" TargetMode="External" Id="rId200" /><Relationship Type="http://schemas.openxmlformats.org/officeDocument/2006/relationships/hyperlink" Target="https://img.alicdn.com/bao/uploaded/i2/2217590670593/O1CN01X6xBrX1GFdsR7bNEl_!!2217590670593.jpg" TargetMode="External" Id="rId201" /><Relationship Type="http://schemas.openxmlformats.org/officeDocument/2006/relationships/hyperlink" Target="https://img.alicdn.com/bao/uploaded/i2/2217590670593/O1CN01X6xBrX1GFdsR7bNEl_!!2217590670593.jpg" TargetMode="External" Id="rId202" /><Relationship Type="http://schemas.openxmlformats.org/officeDocument/2006/relationships/hyperlink" Target="https://img.alicdn.com/bao/uploaded/i1/2217590670593/O1CN01HCiENH1GFdsOxzxVR_!!2217590670593.jpg" TargetMode="External" Id="rId203" /><Relationship Type="http://schemas.openxmlformats.org/officeDocument/2006/relationships/hyperlink" Target="https://img.alicdn.com/bao/uploaded/i1/2217590670593/O1CN01HCiENH1GFdsOxzxVR_!!2217590670593.jpg" TargetMode="External" Id="rId204" /><Relationship Type="http://schemas.openxmlformats.org/officeDocument/2006/relationships/hyperlink" Target="https://img.alicdn.com/bao/uploaded/i1/2217590670593/O1CN01KrbK0i1GFdpiapeNw_!!2217590670593.jpg" TargetMode="External" Id="rId205" /><Relationship Type="http://schemas.openxmlformats.org/officeDocument/2006/relationships/hyperlink" Target="https://img.alicdn.com/bao/uploaded/i1/2217590670593/O1CN01SGoUtm1GFdqCuUl6x_!!2217590670593.jpg" TargetMode="External" Id="rId206" /><Relationship Type="http://schemas.openxmlformats.org/officeDocument/2006/relationships/hyperlink" Target="https://img.alicdn.com/bao/uploaded/i1/2217590670593/O1CN01SGoUtm1GFdqCuUl6x_!!2217590670593.jpg" TargetMode="External" Id="rId207" /><Relationship Type="http://schemas.openxmlformats.org/officeDocument/2006/relationships/hyperlink" Target="https://img.alicdn.com/bao/uploaded/i1/2217590670593/O1CN01SGoUtm1GFdqCuUl6x_!!2217590670593.jpg" TargetMode="External" Id="rId208" /><Relationship Type="http://schemas.openxmlformats.org/officeDocument/2006/relationships/hyperlink" Target="https://img.alicdn.com/bao/uploaded/i4/2217590670593/O1CN01NVLkKm1GFdqCCXdK9_!!2217590670593.jpg" TargetMode="External" Id="rId209" /><Relationship Type="http://schemas.openxmlformats.org/officeDocument/2006/relationships/hyperlink" Target="https://img.alicdn.com/bao/uploaded/i2/2217590670593/O1CN01bqDp0B1GFdqA7ygJp_!!2217590670593.jpg" TargetMode="External" Id="rId210" /><Relationship Type="http://schemas.openxmlformats.org/officeDocument/2006/relationships/hyperlink" Target="https://img.alicdn.com/bao/uploaded/i4/2217590670593/O1CN01NVLkKm1GFdqCCXdK9_!!2217590670593.jpg" TargetMode="External" Id="rId211" /><Relationship Type="http://schemas.openxmlformats.org/officeDocument/2006/relationships/hyperlink" Target="https://img.alicdn.com/bao/uploaded/i4/2217590670593/O1CN01NVLkKm1GFdqCCXdK9_!!2217590670593.jpg" TargetMode="External" Id="rId212" /><Relationship Type="http://schemas.openxmlformats.org/officeDocument/2006/relationships/hyperlink" Target="https://img.alicdn.com/bao/uploaded/i2/2217590670593/O1CN01bqDp0B1GFdqA7ygJp_!!2217590670593.jpg" TargetMode="External" Id="rId213" /><Relationship Type="http://schemas.openxmlformats.org/officeDocument/2006/relationships/hyperlink" Target="https://img.alicdn.com/bao/uploaded/i2/2217590670593/O1CN01bqDp0B1GFdqA7ygJp_!!2217590670593.jpg" TargetMode="External" Id="rId214" /><Relationship Type="http://schemas.openxmlformats.org/officeDocument/2006/relationships/hyperlink" Target="https://img.alicdn.com/bao/uploaded/i1/2217590670593/O1CN01le57m01GFdpiT0H0Y_!!2217590670593.jpg" TargetMode="External" Id="rId215" /><Relationship Type="http://schemas.openxmlformats.org/officeDocument/2006/relationships/hyperlink" Target="https://img.alicdn.com/bao/uploaded/i4/2217590670593/O1CN016fOdoC1GFdomtkiPS_!!2217590670593.jpg" TargetMode="External" Id="rId216" /><Relationship Type="http://schemas.openxmlformats.org/officeDocument/2006/relationships/hyperlink" Target="https://img.alicdn.com/bao/uploaded/i2/2217590670593/O1CN01TqSozO1GFdpkJcGB8_!!2217590670593.jpg" TargetMode="External" Id="rId217" /><Relationship Type="http://schemas.openxmlformats.org/officeDocument/2006/relationships/hyperlink" Target="https://img.alicdn.com/bao/uploaded/i4/2217590670593/O1CN01cBHR1y1GFdpiMitRJ_!!2217590670593.jpg" TargetMode="External" Id="rId218" /><Relationship Type="http://schemas.openxmlformats.org/officeDocument/2006/relationships/hyperlink" Target="https://img.alicdn.com/bao/uploaded/i4/2217590670593/O1CN01cBHR1y1GFdpiMitRJ_!!2217590670593.jpg" TargetMode="External" Id="rId219" /><Relationship Type="http://schemas.openxmlformats.org/officeDocument/2006/relationships/hyperlink" Target="https://img.alicdn.com/bao/uploaded/i4/2217590670593/O1CN01cBHR1y1GFdpiMitRJ_!!2217590670593.jpg" TargetMode="External" Id="rId220" /><Relationship Type="http://schemas.openxmlformats.org/officeDocument/2006/relationships/hyperlink" Target="https://img.alicdn.com/bao/uploaded/i3/2217590670593/O1CN01dmT3Ke1GFdpjQwVcR_!!2217590670593.jpg" TargetMode="External" Id="rId221" /><Relationship Type="http://schemas.openxmlformats.org/officeDocument/2006/relationships/hyperlink" Target="https://img.alicdn.com/bao/uploaded/i3/2217590670593/O1CN01dmT3Ke1GFdpjQwVcR_!!2217590670593.jpg" TargetMode="External" Id="rId222" /><Relationship Type="http://schemas.openxmlformats.org/officeDocument/2006/relationships/hyperlink" Target="https://img.alicdn.com/bao/uploaded/i3/2217590670593/O1CN01dmT3Ke1GFdpjQwVcR_!!2217590670593.jpg" TargetMode="External" Id="rId223" /><Relationship Type="http://schemas.openxmlformats.org/officeDocument/2006/relationships/hyperlink" Target="https://img.alicdn.com/bao/uploaded/i2/2217590670593/O1CN01TqSozO1GFdpkJcGB8_!!2217590670593.jpg" TargetMode="External" Id="rId224" /><Relationship Type="http://schemas.openxmlformats.org/officeDocument/2006/relationships/hyperlink" Target="https://img.alicdn.com/bao/uploaded/i2/2217590670593/O1CN01TqSozO1GFdpkJcGB8_!!2217590670593.jpg" TargetMode="External" Id="rId225" /><Relationship Type="http://schemas.openxmlformats.org/officeDocument/2006/relationships/hyperlink" Target="https://img.alicdn.com/bao/uploaded/i4/2217590670593/O1CN01zGDxqH1GFdpiW0m7P_!!2217590670593.jpg" TargetMode="External" Id="rId226" /><Relationship Type="http://schemas.openxmlformats.org/officeDocument/2006/relationships/hyperlink" Target="https://img.alicdn.com/bao/uploaded/i4/2217590670593/O1CN01zGDxqH1GFdpiW0m7P_!!2217590670593.jpg" TargetMode="External" Id="rId227" /><Relationship Type="http://schemas.openxmlformats.org/officeDocument/2006/relationships/hyperlink" Target="https://img.alicdn.com/bao/uploaded/i4/2217590670593/O1CN01zGDxqH1GFdpiW0m7P_!!2217590670593.jpg" TargetMode="External" Id="rId228" /><Relationship Type="http://schemas.openxmlformats.org/officeDocument/2006/relationships/hyperlink" Target="https://img.alicdn.com/bao/uploaded/i1/2217590670593/O1CN01le57m01GFdpiT0H0Y_!!2217590670593.jpg" TargetMode="External" Id="rId229" /><Relationship Type="http://schemas.openxmlformats.org/officeDocument/2006/relationships/hyperlink" Target="https://img.alicdn.com/bao/uploaded/i1/2217590670593/O1CN01le57m01GFdpiT0H0Y_!!2217590670593.jpg" TargetMode="External" Id="rId230" /><Relationship Type="http://schemas.openxmlformats.org/officeDocument/2006/relationships/hyperlink" Target="https://img.alicdn.com/bao/uploaded/i4/2217590670593/O1CN01bkF0Ap1GFdpf1hF5R_!!2217590670593.jpg" TargetMode="External" Id="rId231" /><Relationship Type="http://schemas.openxmlformats.org/officeDocument/2006/relationships/hyperlink" Target="https://img.alicdn.com/bao/uploaded/i4/2217590670593/O1CN01bkF0Ap1GFdpf1hF5R_!!2217590670593.jpg" TargetMode="External" Id="rId232" /><Relationship Type="http://schemas.openxmlformats.org/officeDocument/2006/relationships/hyperlink" Target="https://img.alicdn.com/bao/uploaded/i4/2217590670593/O1CN01bkF0Ap1GFdpf1hF5R_!!2217590670593.jpg" TargetMode="External" Id="rId233" /><Relationship Type="http://schemas.openxmlformats.org/officeDocument/2006/relationships/hyperlink" Target="https://img.alicdn.com/bao/uploaded/i1/2217590670593/O1CN01YZUxU91GFdpiQ2eyD_!!2217590670593.jpg" TargetMode="External" Id="rId234" /><Relationship Type="http://schemas.openxmlformats.org/officeDocument/2006/relationships/hyperlink" Target="https://img.alicdn.com/bao/uploaded/i1/2217590670593/O1CN01YZUxU91GFdpiQ2eyD_!!2217590670593.jpg" TargetMode="External" Id="rId235" /><Relationship Type="http://schemas.openxmlformats.org/officeDocument/2006/relationships/hyperlink" Target="https://img.alicdn.com/bao/uploaded/i1/2217590670593/O1CN01YZUxU91GFdpiQ2eyD_!!2217590670593.jpg" TargetMode="External" Id="rId236" /><Relationship Type="http://schemas.openxmlformats.org/officeDocument/2006/relationships/hyperlink" Target="https://img.alicdn.com/bao/uploaded/i1/2217590670593/O1CN01YZUxU91GFdpiQ2eyD_!!2217590670593.jpg" TargetMode="External" Id="rId237" /><Relationship Type="http://schemas.openxmlformats.org/officeDocument/2006/relationships/hyperlink" Target="https://img.alicdn.com/bao/uploaded/i1/2217590670593/O1CN01D1mnFi1GFdpWvRMRV_!!2217590670593.jpg" TargetMode="External" Id="rId238" /><Relationship Type="http://schemas.openxmlformats.org/officeDocument/2006/relationships/hyperlink" Target="https://img.alicdn.com/bao/uploaded/i1/2217590670593/O1CN01D1mnFi1GFdpWvRMRV_!!2217590670593.jpg" TargetMode="External" Id="rId239" /><Relationship Type="http://schemas.openxmlformats.org/officeDocument/2006/relationships/hyperlink" Target="https://img.alicdn.com/bao/uploaded/i3/2217590670593/O1CN01q90Rk01GFdpW2UYab_!!2217590670593.jpg" TargetMode="External" Id="rId240" /><Relationship Type="http://schemas.openxmlformats.org/officeDocument/2006/relationships/hyperlink" Target="https://img.alicdn.com/bao/uploaded/i3/2217590670593/O1CN01q90Rk01GFdpW2UYab_!!2217590670593.jpg" TargetMode="External" Id="rId241" /><Relationship Type="http://schemas.openxmlformats.org/officeDocument/2006/relationships/hyperlink" Target="https://img.alicdn.com/bao/uploaded/i3/2217590670593/O1CN01q90Rk01GFdpW2UYab_!!2217590670593.jpg" TargetMode="External" Id="rId242" /><Relationship Type="http://schemas.openxmlformats.org/officeDocument/2006/relationships/hyperlink" Target="https://img.alicdn.com/bao/uploaded/i3/2217590670593/O1CN01aFs6Tx1GFdpiaCW2R_!!2217590670593.jpg" TargetMode="External" Id="rId243" /><Relationship Type="http://schemas.openxmlformats.org/officeDocument/2006/relationships/hyperlink" Target="https://img.alicdn.com/bao/uploaded/i3/2217590670593/O1CN01aFs6Tx1GFdpiaCW2R_!!2217590670593.jpg" TargetMode="External" Id="rId244" /><Relationship Type="http://schemas.openxmlformats.org/officeDocument/2006/relationships/hyperlink" Target="https://img.alicdn.com/bao/uploaded/i3/2217590670593/O1CN01aFs6Tx1GFdpiaCW2R_!!2217590670593.jpg" TargetMode="External" Id="rId245" /><Relationship Type="http://schemas.openxmlformats.org/officeDocument/2006/relationships/hyperlink" Target="https://img.alicdn.com/bao/uploaded/i2/2217590670593/O1CN01fgwFKi1GFdqCIiAPK_!!2217590670593.jpg" TargetMode="External" Id="rId246" /><Relationship Type="http://schemas.openxmlformats.org/officeDocument/2006/relationships/hyperlink" Target="https://img.alicdn.com/bao/uploaded/i2/2217590670593/O1CN01fgwFKi1GFdqCIiAPK_!!2217590670593.jpg" TargetMode="External" Id="rId247" /><Relationship Type="http://schemas.openxmlformats.org/officeDocument/2006/relationships/hyperlink" Target="https://img.alicdn.com/bao/uploaded/i2/2217590670593/O1CN01fgwFKi1GFdqCIiAPK_!!2217590670593.jpg" TargetMode="External" Id="rId248" /><Relationship Type="http://schemas.openxmlformats.org/officeDocument/2006/relationships/hyperlink" Target="https://img.alicdn.com/bao/uploaded/i2/2217590670593/O1CN01JxKyk01GFdpW9Y4QY_!!2217590670593.jpg" TargetMode="External" Id="rId249" /><Relationship Type="http://schemas.openxmlformats.org/officeDocument/2006/relationships/hyperlink" Target="https://img.alicdn.com/bao/uploaded/i2/2217590670593/O1CN01JxKyk01GFdpW9Y4QY_!!2217590670593.jpg" TargetMode="External" Id="rId250" /><Relationship Type="http://schemas.openxmlformats.org/officeDocument/2006/relationships/hyperlink" Target="https://img.alicdn.com/bao/uploaded/i1/2217590670593/O1CN01KrbK0i1GFdpiapeNw_!!2217590670593.jpg" TargetMode="External" Id="rId251" /><Relationship Type="http://schemas.openxmlformats.org/officeDocument/2006/relationships/hyperlink" Target="https://img.alicdn.com/bao/uploaded/i1/2217590670593/O1CN01KrbK0i1GFdpiapeNw_!!2217590670593.jpg" TargetMode="External" Id="rId252" /><Relationship Type="http://schemas.openxmlformats.org/officeDocument/2006/relationships/hyperlink" Target="https://img.alicdn.com/bao/uploaded/i1/2217590670593/O1CN01KrbK0i1GFdpiapeNw_!!2217590670593.jpg" TargetMode="External" Id="rId253" /><Relationship Type="http://schemas.openxmlformats.org/officeDocument/2006/relationships/hyperlink" Target="https://img.alicdn.com/bao/uploaded/i4/2217590670593/O1CN01zGDxqH1GFdpiW0m7P_!!2217590670593.jpg" TargetMode="External" Id="rId254" /><Relationship Type="http://schemas.openxmlformats.org/officeDocument/2006/relationships/hyperlink" Target="https://img.alicdn.com/bao/uploaded/i4/2217590670593/O1CN01zGDxqH1GFdpiW0m7P_!!2217590670593.jpg" TargetMode="External" Id="rId255" /><Relationship Type="http://schemas.openxmlformats.org/officeDocument/2006/relationships/hyperlink" Target="https://img.alicdn.com/bao/uploaded/i4/2217590670593/O1CN01zGDxqH1GFdpiW0m7P_!!2217590670593.jpg" TargetMode="External" Id="rId256" /><Relationship Type="http://schemas.openxmlformats.org/officeDocument/2006/relationships/hyperlink" Target="https://img.alicdn.com/bao/uploaded/i4/2217590670593/O1CN01zGDxqH1GFdpiW0m7P_!!2217590670593.jpg" TargetMode="External" Id="rId257" /><Relationship Type="http://schemas.openxmlformats.org/officeDocument/2006/relationships/hyperlink" Target="https://img.alicdn.com/bao/uploaded/i4/2217590670593/O1CN01zGDxqH1GFdpiW0m7P_!!2217590670593.jpg" TargetMode="External" Id="rId258" /><Relationship Type="http://schemas.openxmlformats.org/officeDocument/2006/relationships/hyperlink" Target="https://img.alicdn.com/bao/uploaded/i4/2217590670593/O1CN01zGDxqH1GFdpiW0m7P_!!2217590670593.jpg" TargetMode="External" Id="rId259" /><Relationship Type="http://schemas.openxmlformats.org/officeDocument/2006/relationships/hyperlink" Target="https://img.alicdn.com/bao/uploaded/i2/2217590670593/O1CN015sQMKG1GFdphNWeJz_!!2217590670593.jpg" TargetMode="External" Id="rId260" /><Relationship Type="http://schemas.openxmlformats.org/officeDocument/2006/relationships/hyperlink" Target="https://img.alicdn.com/bao/uploaded/i2/2217590670593/O1CN015sQMKG1GFdphNWeJz_!!2217590670593.jpg" TargetMode="External" Id="rId261" /><Relationship Type="http://schemas.openxmlformats.org/officeDocument/2006/relationships/hyperlink" Target="https://img.alicdn.com/bao/uploaded/i2/2217590670593/O1CN015sQMKG1GFdphNWeJz_!!2217590670593.jpg" TargetMode="External" Id="rId262" /><Relationship Type="http://schemas.openxmlformats.org/officeDocument/2006/relationships/hyperlink" Target="https://img.alicdn.com/bao/uploaded/i2/2217590670593/O1CN015sQMKG1GFdphNWeJz_!!2217590670593.jpg" TargetMode="External" Id="rId263" /><Relationship Type="http://schemas.openxmlformats.org/officeDocument/2006/relationships/hyperlink" Target="https://img.alicdn.com/bao/uploaded/i1/2217590670593/O1CN01odaeDC1GFdpZQVrxf_!!2217590670593.jpg" TargetMode="External" Id="rId264" /><Relationship Type="http://schemas.openxmlformats.org/officeDocument/2006/relationships/hyperlink" Target="https://img.alicdn.com/bao/uploaded/i1/2217590670593/O1CN01odaeDC1GFdpZQVrxf_!!2217590670593.jpg" TargetMode="External" Id="rId265" /><Relationship Type="http://schemas.openxmlformats.org/officeDocument/2006/relationships/hyperlink" Target="https://img.alicdn.com/bao/uploaded/i1/2217590670593/O1CN01Wln9D01GFdpkOeMro_!!2217590670593.jpg" TargetMode="External" Id="rId266" /><Relationship Type="http://schemas.openxmlformats.org/officeDocument/2006/relationships/hyperlink" Target="https://img.alicdn.com/bao/uploaded/i1/2217590670593/O1CN01Wln9D01GFdpkOeMro_!!2217590670593.jpg" TargetMode="External" Id="rId267" /><Relationship Type="http://schemas.openxmlformats.org/officeDocument/2006/relationships/hyperlink" Target="https://img.alicdn.com/bao/uploaded/i1/2217590670593/O1CN01Wln9D01GFdpkOeMro_!!2217590670593.jpg" TargetMode="External" Id="rId268" /><Relationship Type="http://schemas.openxmlformats.org/officeDocument/2006/relationships/hyperlink" Target="https://img.alicdn.com/bao/uploaded/i1/2217590670593/O1CN01ajY5uO1GFdpep88cl_!!2217590670593.jpg" TargetMode="External" Id="rId269" /><Relationship Type="http://schemas.openxmlformats.org/officeDocument/2006/relationships/hyperlink" Target="https://img.alicdn.com/bao/uploaded/i1/2217590670593/O1CN01ajY5uO1GFdpep88cl_!!2217590670593.jpg" TargetMode="External" Id="rId270" /><Relationship Type="http://schemas.openxmlformats.org/officeDocument/2006/relationships/hyperlink" Target="https://img.alicdn.com/bao/uploaded/i1/2217590670593/O1CN01ajY5uO1GFdpep88cl_!!2217590670593.jpg" TargetMode="External" Id="rId271" /><Relationship Type="http://schemas.openxmlformats.org/officeDocument/2006/relationships/hyperlink" Target="https://img.alicdn.com/bao/uploaded/i1/2217590670593/O1CN011L7dBF1GFdpiDXty9_!!2217590670593.jpg" TargetMode="External" Id="rId272" /><Relationship Type="http://schemas.openxmlformats.org/officeDocument/2006/relationships/hyperlink" Target="https://img.alicdn.com/bao/uploaded/i1/2217590670593/O1CN011L7dBF1GFdpiDXty9_!!2217590670593.jpg" TargetMode="External" Id="rId273" /><Relationship Type="http://schemas.openxmlformats.org/officeDocument/2006/relationships/hyperlink" Target="https://img.alicdn.com/bao/uploaded/i1/2217590670593/O1CN011L7dBF1GFdpiDXty9_!!2217590670593.jpg" TargetMode="External" Id="rId274" /><Relationship Type="http://schemas.openxmlformats.org/officeDocument/2006/relationships/hyperlink" Target="https://img.alicdn.com/bao/uploaded/i1/2217590670593/O1CN011L7dBF1GFdpiDXty9_!!2217590670593.jpg" TargetMode="External" Id="rId275" /><Relationship Type="http://schemas.openxmlformats.org/officeDocument/2006/relationships/hyperlink" Target="https://img.alicdn.com/bao/uploaded/i1/2217590670593/O1CN011L7dBF1GFdpiDXty9_!!2217590670593.jpg" TargetMode="External" Id="rId276" /><Relationship Type="http://schemas.openxmlformats.org/officeDocument/2006/relationships/hyperlink" Target="https://img.alicdn.com/bao/uploaded/i1/2217590670593/O1CN011L7dBF1GFdpiDXty9_!!2217590670593.jpg" TargetMode="External" Id="rId2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38" customWidth="1" min="4" max="4"/>
    <col width="20" customWidth="1" min="5" max="5"/>
    <col width="7" customWidth="1" min="6" max="6"/>
    <col width="12" customWidth="1" min="7" max="7"/>
    <col width="8" customWidth="1" min="8" max="8"/>
    <col width="44" customWidth="1" min="9" max="9"/>
    <col width="44" customWidth="1" min="10" max="10"/>
  </cols>
  <sheetData>
    <row r="1" ht="28" customHeight="1">
      <c r="A1" s="1" t="inlineStr">
        <is>
          <t>📦 产品库  |  扭捏niunie 线下店铺</t>
        </is>
      </c>
    </row>
    <row r="2" ht="18" customHeight="1">
      <c r="A2" s="2" t="inlineStr">
        <is>
          <t>💡 点击图片列链接可查看商品图片 | 支持按货号/名称/颜色/尺码筛选</t>
        </is>
      </c>
    </row>
    <row r="3" ht="30" customHeight="1">
      <c r="A3" s="3" t="inlineStr">
        <is>
          <t>序号</t>
        </is>
      </c>
      <c r="B3" s="3" t="inlineStr">
        <is>
          <t>货号(SKU)</t>
        </is>
      </c>
      <c r="C3" s="3" t="inlineStr">
        <is>
          <t>款式编码</t>
        </is>
      </c>
      <c r="D3" s="3" t="inlineStr">
        <is>
          <t>商品名称</t>
        </is>
      </c>
      <c r="E3" s="3" t="inlineStr">
        <is>
          <t>颜色</t>
        </is>
      </c>
      <c r="F3" s="3" t="inlineStr">
        <is>
          <t>尺码</t>
        </is>
      </c>
      <c r="G3" s="3" t="inlineStr">
        <is>
          <t>售价(¥)</t>
        </is>
      </c>
      <c r="H3" s="3" t="inlineStr">
        <is>
          <t>库存</t>
        </is>
      </c>
      <c r="I3" s="3" t="inlineStr">
        <is>
          <t>图片链接</t>
        </is>
      </c>
      <c r="J3" s="3" t="inlineStr">
        <is>
          <t>淘宝链接</t>
        </is>
      </c>
    </row>
    <row r="4" ht="17" customHeight="1">
      <c r="A4" s="4" t="n">
        <v>1</v>
      </c>
      <c r="B4" s="4" t="inlineStr">
        <is>
          <t>NS2614-L</t>
        </is>
      </c>
      <c r="C4" s="4" t="inlineStr">
        <is>
          <t>NS2614</t>
        </is>
      </c>
      <c r="D4" s="5" t="inlineStr">
        <is>
          <t>扭捏niunie 复古格子全羊毛格子外套七分袖短裤宽松衬衫上衣女</t>
        </is>
      </c>
      <c r="E4" s="5" t="inlineStr">
        <is>
          <t>七分袖格子毛呢外套</t>
        </is>
      </c>
      <c r="F4" s="4" t="inlineStr">
        <is>
          <t>L</t>
        </is>
      </c>
      <c r="G4" s="6" t="n">
        <v>799</v>
      </c>
      <c r="H4" s="4" t="n">
        <v>6</v>
      </c>
      <c r="I4" s="7" t="inlineStr">
        <is>
          <t>https://img.alicdn.com/bao/uploaded/i1/2217590670593/O1CN014SZXqr1GFdzaJafbf~crop,0,57,1440,1440~_!!2217590670593.jpg</t>
        </is>
      </c>
      <c r="J4" s="7" t="inlineStr">
        <is>
          <t>http://item.taobao.com/item.htm?id=1025388691256</t>
        </is>
      </c>
    </row>
    <row r="5" ht="17" customHeight="1">
      <c r="A5" s="8" t="n">
        <v>2</v>
      </c>
      <c r="B5" s="8" t="inlineStr">
        <is>
          <t>NS2614-M</t>
        </is>
      </c>
      <c r="C5" s="8" t="inlineStr">
        <is>
          <t>NS2614</t>
        </is>
      </c>
      <c r="D5" s="9" t="inlineStr">
        <is>
          <t>扭捏niunie 复古格子全羊毛格子外套七分袖短裤宽松衬衫上衣女</t>
        </is>
      </c>
      <c r="E5" s="9" t="inlineStr">
        <is>
          <t>七分袖格子毛呢外套</t>
        </is>
      </c>
      <c r="F5" s="8" t="inlineStr">
        <is>
          <t>M</t>
        </is>
      </c>
      <c r="G5" s="10" t="n">
        <v>799</v>
      </c>
      <c r="H5" s="8" t="n">
        <v>1</v>
      </c>
      <c r="I5" s="11" t="inlineStr">
        <is>
          <t>https://img.alicdn.com/bao/uploaded/i1/2217590670593/O1CN014SZXqr1GFdzaJafbf~crop,0,57,1440,1440~_!!2217590670593.jpg</t>
        </is>
      </c>
      <c r="J5" s="11" t="inlineStr">
        <is>
          <t>http://item.taobao.com/item.htm?id=1025388691256</t>
        </is>
      </c>
    </row>
    <row r="6" ht="17" customHeight="1">
      <c r="A6" s="4" t="n">
        <v>3</v>
      </c>
      <c r="B6" s="4" t="inlineStr">
        <is>
          <t>NS2614-S</t>
        </is>
      </c>
      <c r="C6" s="4" t="inlineStr">
        <is>
          <t>NS2614</t>
        </is>
      </c>
      <c r="D6" s="5" t="inlineStr">
        <is>
          <t>扭捏niunie 复古格子全羊毛格子外套七分袖短裤宽松衬衫上衣女</t>
        </is>
      </c>
      <c r="E6" s="5" t="inlineStr">
        <is>
          <t>七分袖格子毛呢外套</t>
        </is>
      </c>
      <c r="F6" s="4" t="inlineStr">
        <is>
          <t>S</t>
        </is>
      </c>
      <c r="G6" s="6" t="n">
        <v>799</v>
      </c>
      <c r="H6" s="12" t="n">
        <v>0</v>
      </c>
      <c r="I6" s="7" t="inlineStr">
        <is>
          <t>https://img.alicdn.com/bao/uploaded/i1/2217590670593/O1CN014SZXqr1GFdzaJafbf~crop,0,57,1440,1440~_!!2217590670593.jpg</t>
        </is>
      </c>
      <c r="J6" s="7" t="inlineStr">
        <is>
          <t>http://item.taobao.com/item.htm?id=1025388691256</t>
        </is>
      </c>
    </row>
    <row r="7" ht="17" customHeight="1">
      <c r="A7" s="8" t="n">
        <v>4</v>
      </c>
      <c r="B7" s="8" t="inlineStr">
        <is>
          <t>NS2613-M</t>
        </is>
      </c>
      <c r="C7" s="8" t="inlineStr">
        <is>
          <t>NS2613</t>
        </is>
      </c>
      <c r="D7" s="9" t="inlineStr">
        <is>
          <t>扭捏niunie 黄色小碎花两面穿半身裙女打褶中长款甜美A字伞裙夏季</t>
        </is>
      </c>
      <c r="E7" s="9" t="inlineStr">
        <is>
          <t>黄色小碎花两面穿半身裙</t>
        </is>
      </c>
      <c r="F7" s="8" t="inlineStr">
        <is>
          <t>M</t>
        </is>
      </c>
      <c r="G7" s="10" t="n">
        <v>439</v>
      </c>
      <c r="H7" s="8" t="n">
        <v>4</v>
      </c>
      <c r="I7" s="11" t="inlineStr">
        <is>
          <t>https://img.alicdn.com/bao/uploaded/i3/2217590670593/O1CN013VOeEz1GFdzbUPeAA~crop,0,240,1440,1440~_!!2217590670593.jpg</t>
        </is>
      </c>
      <c r="J7" s="11" t="inlineStr">
        <is>
          <t>http://item.taobao.com/item.htm?id=1026753508485</t>
        </is>
      </c>
    </row>
    <row r="8" ht="17" customHeight="1">
      <c r="A8" s="4" t="n">
        <v>5</v>
      </c>
      <c r="B8" s="4" t="inlineStr">
        <is>
          <t>NS2613-S</t>
        </is>
      </c>
      <c r="C8" s="4" t="inlineStr">
        <is>
          <t>NS2613</t>
        </is>
      </c>
      <c r="D8" s="5" t="inlineStr">
        <is>
          <t>扭捏niunie 黄色小碎花两面穿半身裙女打褶中长款甜美A字伞裙夏季</t>
        </is>
      </c>
      <c r="E8" s="5" t="inlineStr">
        <is>
          <t>黄色小碎花两面穿半身裙</t>
        </is>
      </c>
      <c r="F8" s="4" t="inlineStr">
        <is>
          <t>S</t>
        </is>
      </c>
      <c r="G8" s="6" t="n">
        <v>439</v>
      </c>
      <c r="H8" s="4" t="n">
        <v>2</v>
      </c>
      <c r="I8" s="7" t="inlineStr">
        <is>
          <t>https://img.alicdn.com/bao/uploaded/i3/2217590670593/O1CN013VOeEz1GFdzbUPeAA~crop,0,240,1440,1440~_!!2217590670593.jpg</t>
        </is>
      </c>
      <c r="J8" s="7" t="inlineStr">
        <is>
          <t>http://item.taobao.com/item.htm?id=1026753508485</t>
        </is>
      </c>
    </row>
    <row r="9" ht="17" customHeight="1">
      <c r="A9" s="8" t="n">
        <v>6</v>
      </c>
      <c r="B9" s="8" t="inlineStr">
        <is>
          <t>NS2611-M</t>
        </is>
      </c>
      <c r="C9" s="8" t="inlineStr">
        <is>
          <t>NS2611+NS2612</t>
        </is>
      </c>
      <c r="D9" s="9" t="inlineStr">
        <is>
          <t>扭捏niunie甜美清新花边口袋樱桃提花拼接圆领短袖衬衫花苞裤套装</t>
        </is>
      </c>
      <c r="E9" s="9" t="inlineStr">
        <is>
          <t>樱桃提花有口袋衬衫</t>
        </is>
      </c>
      <c r="F9" s="8" t="inlineStr">
        <is>
          <t>M</t>
        </is>
      </c>
      <c r="G9" s="10" t="n">
        <v>369</v>
      </c>
      <c r="H9" s="8" t="n">
        <v>23</v>
      </c>
      <c r="I9" s="11" t="inlineStr">
        <is>
          <t>https://img.alicdn.com/bao/uploaded/i2/2217590670593/O1CN01xgSwHZ1GFdzaMGyRv~crop,0,240,1440,1440~_!!2217590670593.jpg</t>
        </is>
      </c>
      <c r="J9" s="11" t="inlineStr">
        <is>
          <t>http://item.taobao.com/item.htm?id=1024384959107</t>
        </is>
      </c>
    </row>
    <row r="10" ht="17" customHeight="1">
      <c r="A10" s="4" t="n">
        <v>7</v>
      </c>
      <c r="B10" s="4" t="inlineStr">
        <is>
          <t>NS2612-M</t>
        </is>
      </c>
      <c r="C10" s="4" t="inlineStr">
        <is>
          <t>NS2611+NS2612</t>
        </is>
      </c>
      <c r="D10" s="5" t="inlineStr">
        <is>
          <t>扭捏niunie甜美清新花边口袋樱桃提花拼接圆领短袖衬衫花苞裤套装</t>
        </is>
      </c>
      <c r="E10" s="5" t="inlineStr">
        <is>
          <t>樱桃花苞裤</t>
        </is>
      </c>
      <c r="F10" s="4" t="inlineStr">
        <is>
          <t>M</t>
        </is>
      </c>
      <c r="G10" s="6" t="n">
        <v>329</v>
      </c>
      <c r="H10" s="4" t="n">
        <v>2</v>
      </c>
      <c r="I10" s="7" t="inlineStr">
        <is>
          <t>https://img.alicdn.com/bao/uploaded/i2/2217590670593/O1CN01CHDMQM1GFdzZvCfJO~crop,0,240,1440,1440~_!!2217590670593.jpg</t>
        </is>
      </c>
      <c r="J10" s="7" t="inlineStr">
        <is>
          <t>http://item.taobao.com/item.htm?id=1024384959107</t>
        </is>
      </c>
    </row>
    <row r="11" ht="17" customHeight="1">
      <c r="A11" s="8" t="n">
        <v>8</v>
      </c>
      <c r="B11" s="8" t="inlineStr">
        <is>
          <t>NS2611-S</t>
        </is>
      </c>
      <c r="C11" s="8" t="inlineStr">
        <is>
          <t>NS2611+NS2612</t>
        </is>
      </c>
      <c r="D11" s="9" t="inlineStr">
        <is>
          <t>扭捏niunie甜美清新花边口袋樱桃提花拼接圆领短袖衬衫花苞裤套装</t>
        </is>
      </c>
      <c r="E11" s="9" t="inlineStr">
        <is>
          <t>樱桃提花有口袋衬衫</t>
        </is>
      </c>
      <c r="F11" s="8" t="inlineStr">
        <is>
          <t>S</t>
        </is>
      </c>
      <c r="G11" s="10" t="n">
        <v>369</v>
      </c>
      <c r="H11" s="8" t="n">
        <v>11</v>
      </c>
      <c r="I11" s="11" t="inlineStr">
        <is>
          <t>https://img.alicdn.com/bao/uploaded/i2/2217590670593/O1CN01xgSwHZ1GFdzaMGyRv~crop,0,240,1440,1440~_!!2217590670593.jpg</t>
        </is>
      </c>
      <c r="J11" s="11" t="inlineStr">
        <is>
          <t>http://item.taobao.com/item.htm?id=1024384959107</t>
        </is>
      </c>
    </row>
    <row r="12" ht="17" customHeight="1">
      <c r="A12" s="4" t="n">
        <v>9</v>
      </c>
      <c r="B12" s="4" t="inlineStr">
        <is>
          <t>NS2612-S</t>
        </is>
      </c>
      <c r="C12" s="4" t="inlineStr">
        <is>
          <t>NS2611+NS2612</t>
        </is>
      </c>
      <c r="D12" s="5" t="inlineStr">
        <is>
          <t>扭捏niunie甜美清新花边口袋樱桃提花拼接圆领短袖衬衫花苞裤套装</t>
        </is>
      </c>
      <c r="E12" s="5" t="inlineStr">
        <is>
          <t>樱桃花苞裤</t>
        </is>
      </c>
      <c r="F12" s="4" t="inlineStr">
        <is>
          <t>S</t>
        </is>
      </c>
      <c r="G12" s="6" t="n">
        <v>329</v>
      </c>
      <c r="H12" s="12" t="n">
        <v>0</v>
      </c>
      <c r="I12" s="7" t="inlineStr">
        <is>
          <t>https://img.alicdn.com/bao/uploaded/i2/2217590670593/O1CN01CHDMQM1GFdzZvCfJO~crop,0,240,1440,1440~_!!2217590670593.jpg</t>
        </is>
      </c>
      <c r="J12" s="7" t="inlineStr">
        <is>
          <t>http://item.taobao.com/item.htm?id=1024384959107</t>
        </is>
      </c>
    </row>
    <row r="13" ht="17" customHeight="1">
      <c r="A13" s="8" t="n">
        <v>10</v>
      </c>
      <c r="B13" s="8" t="inlineStr">
        <is>
          <t>NS2610-M</t>
        </is>
      </c>
      <c r="C13" s="8" t="inlineStr">
        <is>
          <t>NS2610</t>
        </is>
      </c>
      <c r="D13" s="9" t="inlineStr">
        <is>
          <t>扭捏niunie  亚麻复古彩色格子荷叶边短裙抽褶拼接修身半身裙女</t>
        </is>
      </c>
      <c r="E13" s="9" t="inlineStr">
        <is>
          <t>彩色亚麻格子短裙</t>
        </is>
      </c>
      <c r="F13" s="8" t="inlineStr">
        <is>
          <t>M</t>
        </is>
      </c>
      <c r="G13" s="10" t="n">
        <v>529</v>
      </c>
      <c r="H13" s="8" t="n">
        <v>10</v>
      </c>
      <c r="I13" s="11" t="inlineStr">
        <is>
          <t>https://img.alicdn.com/bao/uploaded/i3/2217590670593/O1CN01o0MRbu1GFdza9nw57~crop,0,240,1440,1440~_!!2217590670593.jpg</t>
        </is>
      </c>
      <c r="J13" s="11" t="inlineStr">
        <is>
          <t>http://item.taobao.com/item.htm?id=1026750680382</t>
        </is>
      </c>
    </row>
    <row r="14" ht="17" customHeight="1">
      <c r="A14" s="4" t="n">
        <v>11</v>
      </c>
      <c r="B14" s="4" t="inlineStr">
        <is>
          <t>NS2610-S</t>
        </is>
      </c>
      <c r="C14" s="4" t="inlineStr">
        <is>
          <t>NS2610</t>
        </is>
      </c>
      <c r="D14" s="5" t="inlineStr">
        <is>
          <t>扭捏niunie  亚麻复古彩色格子荷叶边短裙抽褶拼接修身半身裙女</t>
        </is>
      </c>
      <c r="E14" s="5" t="inlineStr">
        <is>
          <t>彩色亚麻格子短裙</t>
        </is>
      </c>
      <c r="F14" s="4" t="inlineStr">
        <is>
          <t>S</t>
        </is>
      </c>
      <c r="G14" s="6" t="n">
        <v>529</v>
      </c>
      <c r="H14" s="4" t="n">
        <v>10</v>
      </c>
      <c r="I14" s="7" t="inlineStr">
        <is>
          <t>https://img.alicdn.com/bao/uploaded/i3/2217590670593/O1CN01o0MRbu1GFdza9nw57~crop,0,240,1440,1440~_!!2217590670593.jpg</t>
        </is>
      </c>
      <c r="J14" s="7" t="inlineStr">
        <is>
          <t>http://item.taobao.com/item.htm?id=1026750680382</t>
        </is>
      </c>
    </row>
    <row r="15" ht="17" customHeight="1">
      <c r="A15" s="8" t="n">
        <v>12</v>
      </c>
      <c r="B15" s="8" t="inlineStr">
        <is>
          <t>NS2609-M</t>
        </is>
      </c>
      <c r="C15" s="8" t="inlineStr">
        <is>
          <t>NS2609</t>
        </is>
      </c>
      <c r="D15" s="9" t="inlineStr">
        <is>
          <t>扭捏niunie 青苹果天使十字绣针织衫长袖圆领T恤甜美宽松上衣女</t>
        </is>
      </c>
      <c r="E15" s="9" t="inlineStr">
        <is>
          <t>青苹果天使针织长袖t</t>
        </is>
      </c>
      <c r="F15" s="8" t="inlineStr">
        <is>
          <t>M</t>
        </is>
      </c>
      <c r="G15" s="10" t="n">
        <v>199</v>
      </c>
      <c r="H15" s="8" t="n">
        <v>22</v>
      </c>
      <c r="I15" s="11" t="inlineStr">
        <is>
          <t>https://img.alicdn.com/bao/uploaded/i4/2217590670593/O1CN01oHujxO1GFdzZY3erp~crop,0,240,1440,1440~_!!2217590670593.jpg</t>
        </is>
      </c>
      <c r="J15" s="11" t="inlineStr">
        <is>
          <t>http://item.taobao.com/item.htm?id=1024381439350</t>
        </is>
      </c>
    </row>
    <row r="16" ht="17" customHeight="1">
      <c r="A16" s="4" t="n">
        <v>13</v>
      </c>
      <c r="B16" s="4" t="inlineStr">
        <is>
          <t>NS2609-S</t>
        </is>
      </c>
      <c r="C16" s="4" t="inlineStr">
        <is>
          <t>NS2609</t>
        </is>
      </c>
      <c r="D16" s="5" t="inlineStr">
        <is>
          <t>扭捏niunie 青苹果天使十字绣针织衫长袖圆领T恤甜美宽松上衣女</t>
        </is>
      </c>
      <c r="E16" s="5" t="inlineStr">
        <is>
          <t>青苹果天使针织长袖t</t>
        </is>
      </c>
      <c r="F16" s="4" t="inlineStr">
        <is>
          <t>S</t>
        </is>
      </c>
      <c r="G16" s="6" t="n">
        <v>199</v>
      </c>
      <c r="H16" s="4" t="n">
        <v>28</v>
      </c>
      <c r="I16" s="7" t="inlineStr">
        <is>
          <t>https://img.alicdn.com/bao/uploaded/i4/2217590670593/O1CN01oHujxO1GFdzZY3erp~crop,0,240,1440,1440~_!!2217590670593.jpg</t>
        </is>
      </c>
      <c r="J16" s="7" t="inlineStr">
        <is>
          <t>http://item.taobao.com/item.htm?id=1024381439350</t>
        </is>
      </c>
    </row>
    <row r="17" ht="17" customHeight="1">
      <c r="A17" s="8" t="n">
        <v>14</v>
      </c>
      <c r="B17" s="8" t="inlineStr">
        <is>
          <t>NS2607-M</t>
        </is>
      </c>
      <c r="C17" s="8" t="inlineStr">
        <is>
          <t>NS2608</t>
        </is>
      </c>
      <c r="D17" s="9" t="inlineStr">
        <is>
          <t>扭捏niunie 婴儿棉A类棉氨纶 娃娃领针织T恤短袖可爱俏皮减龄上衣</t>
        </is>
      </c>
      <c r="E17" s="9" t="inlineStr">
        <is>
          <t>小提花针织灰色开衫</t>
        </is>
      </c>
      <c r="F17" s="8" t="inlineStr">
        <is>
          <t>M</t>
        </is>
      </c>
      <c r="G17" s="10" t="n">
        <v>329</v>
      </c>
      <c r="H17" s="8" t="n">
        <v>17</v>
      </c>
      <c r="I17" s="11" t="inlineStr">
        <is>
          <t>https://img.alicdn.com/bao/uploaded/i1/2217590670593/O1CN01Zq2rL21GFdzYTEnrj~crop,0,240,1440,1440~_!!2217590670593.jpg</t>
        </is>
      </c>
      <c r="J17" s="11" t="inlineStr">
        <is>
          <t>http://item.taobao.com/item.htm?id=1024373327582</t>
        </is>
      </c>
    </row>
    <row r="18" ht="17" customHeight="1">
      <c r="A18" s="4" t="n">
        <v>15</v>
      </c>
      <c r="B18" s="4" t="inlineStr">
        <is>
          <t>NS2607-S</t>
        </is>
      </c>
      <c r="C18" s="4" t="inlineStr">
        <is>
          <t>NS2608</t>
        </is>
      </c>
      <c r="D18" s="5" t="inlineStr">
        <is>
          <t>扭捏niunie 婴儿棉A类棉氨纶 娃娃领针织T恤短袖可爱俏皮减龄上衣</t>
        </is>
      </c>
      <c r="E18" s="5" t="inlineStr">
        <is>
          <t>小提花针织灰色开衫</t>
        </is>
      </c>
      <c r="F18" s="4" t="inlineStr">
        <is>
          <t>S</t>
        </is>
      </c>
      <c r="G18" s="6" t="n">
        <v>329</v>
      </c>
      <c r="H18" s="4" t="n">
        <v>13</v>
      </c>
      <c r="I18" s="7" t="inlineStr">
        <is>
          <t>https://img.alicdn.com/bao/uploaded/i1/2217590670593/O1CN01Zq2rL21GFdzYTEnrj~crop,0,240,1440,1440~_!!2217590670593.jpg</t>
        </is>
      </c>
      <c r="J18" s="7" t="inlineStr">
        <is>
          <t>http://item.taobao.com/item.htm?id=1024373327582</t>
        </is>
      </c>
    </row>
    <row r="19" ht="17" customHeight="1">
      <c r="A19" s="8" t="n">
        <v>16</v>
      </c>
      <c r="B19" s="8" t="inlineStr">
        <is>
          <t>NS2607-魔法蓝-M</t>
        </is>
      </c>
      <c r="C19" s="8" t="inlineStr">
        <is>
          <t>NS2607</t>
        </is>
      </c>
      <c r="D19" s="9" t="inlineStr">
        <is>
          <t>扭捏niunie 蓝色树莓色格子气质显瘦包臀裙复古直筒中裙女春夏</t>
        </is>
      </c>
      <c r="E19" s="9" t="inlineStr">
        <is>
          <t>魔法蓝格子包臀裙</t>
        </is>
      </c>
      <c r="F19" s="8" t="inlineStr">
        <is>
          <t>M</t>
        </is>
      </c>
      <c r="G19" s="10" t="n">
        <v>419</v>
      </c>
      <c r="H19" s="8" t="n">
        <v>13</v>
      </c>
      <c r="I19" s="11" t="inlineStr">
        <is>
          <t>https://img.alicdn.com/bao/uploaded/i2/2217590670593/O1CN01WXGH4F1GFdzZfAj0W~crop,0,240,1440,1440~_!!2217590670593.jpg</t>
        </is>
      </c>
      <c r="J19" s="11" t="inlineStr">
        <is>
          <t>http://item.taobao.com/item.htm?id=1024371015636</t>
        </is>
      </c>
    </row>
    <row r="20" ht="17" customHeight="1">
      <c r="A20" s="4" t="n">
        <v>17</v>
      </c>
      <c r="B20" s="4" t="inlineStr">
        <is>
          <t>NS2607-树莓-M</t>
        </is>
      </c>
      <c r="C20" s="4" t="inlineStr">
        <is>
          <t>NS2607</t>
        </is>
      </c>
      <c r="D20" s="5" t="inlineStr">
        <is>
          <t>扭捏niunie 蓝色树莓色格子气质显瘦包臀裙复古直筒中裙女春夏</t>
        </is>
      </c>
      <c r="E20" s="5" t="inlineStr">
        <is>
          <t>树莓格子包臀裙</t>
        </is>
      </c>
      <c r="F20" s="4" t="inlineStr">
        <is>
          <t>M</t>
        </is>
      </c>
      <c r="G20" s="6" t="n">
        <v>419</v>
      </c>
      <c r="H20" s="4" t="n">
        <v>3</v>
      </c>
      <c r="I20" s="7" t="inlineStr">
        <is>
          <t>https://img.alicdn.com/bao/uploaded/i3/2217590670593/O1CN01L1894W1GFdzY9x5hR~crop,0,272,1440,1440~_!!2217590670593.jpg</t>
        </is>
      </c>
      <c r="J20" s="7" t="inlineStr">
        <is>
          <t>http://item.taobao.com/item.htm?id=1024371015636</t>
        </is>
      </c>
    </row>
    <row r="21" ht="17" customHeight="1">
      <c r="A21" s="8" t="n">
        <v>18</v>
      </c>
      <c r="B21" s="8" t="inlineStr">
        <is>
          <t>NS2607-魔法蓝-S</t>
        </is>
      </c>
      <c r="C21" s="8" t="inlineStr">
        <is>
          <t>NS2607</t>
        </is>
      </c>
      <c r="D21" s="9" t="inlineStr">
        <is>
          <t>扭捏niunie 蓝色树莓色格子气质显瘦包臀裙复古直筒中裙女春夏</t>
        </is>
      </c>
      <c r="E21" s="9" t="inlineStr">
        <is>
          <t>魔法蓝格子包臀裙</t>
        </is>
      </c>
      <c r="F21" s="8" t="inlineStr">
        <is>
          <t>S</t>
        </is>
      </c>
      <c r="G21" s="10" t="n">
        <v>419</v>
      </c>
      <c r="H21" s="8" t="n">
        <v>12</v>
      </c>
      <c r="I21" s="11" t="inlineStr">
        <is>
          <t>https://img.alicdn.com/bao/uploaded/i2/2217590670593/O1CN01WXGH4F1GFdzZfAj0W~crop,0,240,1440,1440~_!!2217590670593.jpg</t>
        </is>
      </c>
      <c r="J21" s="11" t="inlineStr">
        <is>
          <t>http://item.taobao.com/item.htm?id=1024371015636</t>
        </is>
      </c>
    </row>
    <row r="22" ht="17" customHeight="1">
      <c r="A22" s="4" t="n">
        <v>19</v>
      </c>
      <c r="B22" s="4" t="inlineStr">
        <is>
          <t>NS2607-树莓-S</t>
        </is>
      </c>
      <c r="C22" s="4" t="inlineStr">
        <is>
          <t>NS2607</t>
        </is>
      </c>
      <c r="D22" s="5" t="inlineStr">
        <is>
          <t>扭捏niunie 蓝色树莓色格子气质显瘦包臀裙复古直筒中裙女春夏</t>
        </is>
      </c>
      <c r="E22" s="5" t="inlineStr">
        <is>
          <t>树莓格子包臀裙</t>
        </is>
      </c>
      <c r="F22" s="4" t="inlineStr">
        <is>
          <t>S</t>
        </is>
      </c>
      <c r="G22" s="6" t="n">
        <v>419</v>
      </c>
      <c r="H22" s="4" t="n">
        <v>8</v>
      </c>
      <c r="I22" s="7" t="inlineStr">
        <is>
          <t>https://img.alicdn.com/bao/uploaded/i3/2217590670593/O1CN01L1894W1GFdzY9x5hR~crop,0,272,1440,1440~_!!2217590670593.jpg</t>
        </is>
      </c>
      <c r="J22" s="7" t="inlineStr">
        <is>
          <t>http://item.taobao.com/item.htm?id=1024371015636</t>
        </is>
      </c>
    </row>
    <row r="23" ht="17" customHeight="1">
      <c r="A23" s="8" t="n">
        <v>20</v>
      </c>
      <c r="B23" s="8" t="inlineStr">
        <is>
          <t>NS2606-M</t>
        </is>
      </c>
      <c r="C23" s="8" t="inlineStr">
        <is>
          <t>NS2606</t>
        </is>
      </c>
      <c r="D23" s="9" t="inlineStr">
        <is>
          <t>扭捏niunie 甜美蓝紫格纹松紧腰A字半身裙显瘦宽松撞色中长裙春夏</t>
        </is>
      </c>
      <c r="E23" s="9" t="inlineStr">
        <is>
          <t>蓝紫格半身裙</t>
        </is>
      </c>
      <c r="F23" s="8" t="inlineStr">
        <is>
          <t>M</t>
        </is>
      </c>
      <c r="G23" s="10" t="n">
        <v>309</v>
      </c>
      <c r="H23" s="8" t="n">
        <v>19</v>
      </c>
      <c r="I23" s="11" t="inlineStr">
        <is>
          <t>https://img.alicdn.com/bao/uploaded/i3/2217590670593/O1CN016nYahe1GFdzT5lPPd~crop,0,240,1440,1440~_!!2217590670593.jpg</t>
        </is>
      </c>
      <c r="J23" s="11" t="inlineStr">
        <is>
          <t>http://item.taobao.com/item.htm?id=1026736412662</t>
        </is>
      </c>
    </row>
    <row r="24" ht="17" customHeight="1">
      <c r="A24" s="4" t="n">
        <v>21</v>
      </c>
      <c r="B24" s="4" t="inlineStr">
        <is>
          <t>NS2606-S</t>
        </is>
      </c>
      <c r="C24" s="4" t="inlineStr">
        <is>
          <t>NS2606</t>
        </is>
      </c>
      <c r="D24" s="5" t="inlineStr">
        <is>
          <t>扭捏niunie 甜美蓝紫格纹松紧腰A字半身裙显瘦宽松撞色中长裙春夏</t>
        </is>
      </c>
      <c r="E24" s="5" t="inlineStr">
        <is>
          <t>蓝紫格半身裙</t>
        </is>
      </c>
      <c r="F24" s="4" t="inlineStr">
        <is>
          <t>S</t>
        </is>
      </c>
      <c r="G24" s="6" t="n">
        <v>309</v>
      </c>
      <c r="H24" s="4" t="n">
        <v>17</v>
      </c>
      <c r="I24" s="7" t="inlineStr">
        <is>
          <t>https://img.alicdn.com/bao/uploaded/i3/2217590670593/O1CN016nYahe1GFdzT5lPPd~crop,0,240,1440,1440~_!!2217590670593.jpg</t>
        </is>
      </c>
      <c r="J24" s="7" t="inlineStr">
        <is>
          <t>http://item.taobao.com/item.htm?id=1026736412662</t>
        </is>
      </c>
    </row>
    <row r="25" ht="17" customHeight="1">
      <c r="A25" s="8" t="n">
        <v>22</v>
      </c>
      <c r="B25" s="8" t="inlineStr">
        <is>
          <t>NS2605-M</t>
        </is>
      </c>
      <c r="C25" s="8" t="inlineStr">
        <is>
          <t>NS2605</t>
        </is>
      </c>
      <c r="D25" s="9" t="inlineStr">
        <is>
          <t>扭捏niunie 复古蓝色条纹圆领五分袖短袖T恤修身显瘦中袖百搭上衣</t>
        </is>
      </c>
      <c r="E25" s="9" t="inlineStr">
        <is>
          <t>蓝色条纹中袖T恤</t>
        </is>
      </c>
      <c r="F25" s="8" t="inlineStr">
        <is>
          <t>M</t>
        </is>
      </c>
      <c r="G25" s="10" t="n">
        <v>219</v>
      </c>
      <c r="H25" s="8" t="n">
        <v>12</v>
      </c>
      <c r="I25" s="11" t="inlineStr">
        <is>
          <t>https://img.alicdn.com/bao/uploaded/i4/2217590670593/O1CN01h73obi1GFdzY9wUH1~crop,0,240,1440,1440~_!!2217590670593.jpg</t>
        </is>
      </c>
      <c r="J25" s="11" t="inlineStr">
        <is>
          <t>http://item.taobao.com/item.htm?id=1024366819940</t>
        </is>
      </c>
    </row>
    <row r="26" ht="17" customHeight="1">
      <c r="A26" s="4" t="n">
        <v>23</v>
      </c>
      <c r="B26" s="4" t="inlineStr">
        <is>
          <t>NS2605-S</t>
        </is>
      </c>
      <c r="C26" s="4" t="inlineStr">
        <is>
          <t>NS2605</t>
        </is>
      </c>
      <c r="D26" s="5" t="inlineStr">
        <is>
          <t>扭捏niunie 复古蓝色条纹圆领五分袖短袖T恤修身显瘦中袖百搭上衣</t>
        </is>
      </c>
      <c r="E26" s="5" t="inlineStr">
        <is>
          <t>蓝色条纹中袖T恤</t>
        </is>
      </c>
      <c r="F26" s="4" t="inlineStr">
        <is>
          <t>S</t>
        </is>
      </c>
      <c r="G26" s="6" t="n">
        <v>219</v>
      </c>
      <c r="H26" s="4" t="n">
        <v>20</v>
      </c>
      <c r="I26" s="7" t="inlineStr">
        <is>
          <t>https://img.alicdn.com/bao/uploaded/i4/2217590670593/O1CN01h73obi1GFdzY9wUH1~crop,0,240,1440,1440~_!!2217590670593.jpg</t>
        </is>
      </c>
      <c r="J26" s="7" t="inlineStr">
        <is>
          <t>http://item.taobao.com/item.htm?id=1024366819940</t>
        </is>
      </c>
    </row>
    <row r="27" ht="17" customHeight="1">
      <c r="A27" s="8" t="n">
        <v>24</v>
      </c>
      <c r="B27" s="8" t="inlineStr">
        <is>
          <t>NS2603-M</t>
        </is>
      </c>
      <c r="C27" s="8" t="inlineStr">
        <is>
          <t>NS2603+NS2604</t>
        </is>
      </c>
      <c r="D27" s="9" t="inlineStr">
        <is>
          <t>扭捏niunie 复古重工提花拼接毛边蘑菇半身裙中长款宽松A字伞裙女</t>
        </is>
      </c>
      <c r="E27" s="9" t="inlineStr">
        <is>
          <t>黑白格蘑菇半身裙</t>
        </is>
      </c>
      <c r="F27" s="8" t="inlineStr">
        <is>
          <t>M</t>
        </is>
      </c>
      <c r="G27" s="10" t="n">
        <v>529</v>
      </c>
      <c r="H27" s="8" t="n">
        <v>23</v>
      </c>
      <c r="I27" s="11" t="inlineStr">
        <is>
          <t>https://img.alicdn.com/bao/uploaded/i3/2217590670593/O1CN017tTbD11GFdza9VsTd_!!2217590670593.jpg</t>
        </is>
      </c>
      <c r="J27" s="11" t="inlineStr">
        <is>
          <t>http://item.taobao.com/item.htm?id=1024365051941</t>
        </is>
      </c>
    </row>
    <row r="28" ht="17" customHeight="1">
      <c r="A28" s="4" t="n">
        <v>25</v>
      </c>
      <c r="B28" s="4" t="inlineStr">
        <is>
          <t>NS2604-M</t>
        </is>
      </c>
      <c r="C28" s="4" t="inlineStr">
        <is>
          <t>NS2603+NS2604</t>
        </is>
      </c>
      <c r="D28" s="5" t="inlineStr">
        <is>
          <t>扭捏niunie 复古重工提花拼接毛边蘑菇半身裙中长款宽松A字伞裙女</t>
        </is>
      </c>
      <c r="E28" s="5" t="inlineStr">
        <is>
          <t>粉色纯棉半身裙</t>
        </is>
      </c>
      <c r="F28" s="4" t="inlineStr">
        <is>
          <t>M</t>
        </is>
      </c>
      <c r="G28" s="6" t="n">
        <v>439</v>
      </c>
      <c r="H28" s="12" t="n">
        <v>0</v>
      </c>
      <c r="I28" s="7" t="inlineStr">
        <is>
          <t>https://img.alicdn.com/bao/uploaded/i1/2217590670593/O1CN01UbZdB11GFdzY9yIY0_!!2217590670593.jpg</t>
        </is>
      </c>
      <c r="J28" s="7" t="inlineStr">
        <is>
          <t>http://item.taobao.com/item.htm?id=1024365051941</t>
        </is>
      </c>
    </row>
    <row r="29" ht="17" customHeight="1">
      <c r="A29" s="8" t="n">
        <v>26</v>
      </c>
      <c r="B29" s="8" t="inlineStr">
        <is>
          <t>NS2603-S</t>
        </is>
      </c>
      <c r="C29" s="8" t="inlineStr">
        <is>
          <t>NS2603+NS2604</t>
        </is>
      </c>
      <c r="D29" s="9" t="inlineStr">
        <is>
          <t>扭捏niunie 复古重工提花拼接毛边蘑菇半身裙中长款宽松A字伞裙女</t>
        </is>
      </c>
      <c r="E29" s="9" t="inlineStr">
        <is>
          <t>黑白格蘑菇半身裙</t>
        </is>
      </c>
      <c r="F29" s="8" t="inlineStr">
        <is>
          <t>S</t>
        </is>
      </c>
      <c r="G29" s="10" t="n">
        <v>529</v>
      </c>
      <c r="H29" s="8" t="n">
        <v>23</v>
      </c>
      <c r="I29" s="11" t="inlineStr">
        <is>
          <t>https://img.alicdn.com/bao/uploaded/i3/2217590670593/O1CN017tTbD11GFdza9VsTd_!!2217590670593.jpg</t>
        </is>
      </c>
      <c r="J29" s="11" t="inlineStr">
        <is>
          <t>http://item.taobao.com/item.htm?id=1024365051941</t>
        </is>
      </c>
    </row>
    <row r="30" ht="17" customHeight="1">
      <c r="A30" s="4" t="n">
        <v>27</v>
      </c>
      <c r="B30" s="4" t="inlineStr">
        <is>
          <t>NS2604-S</t>
        </is>
      </c>
      <c r="C30" s="4" t="inlineStr">
        <is>
          <t>NS2603+NS2604</t>
        </is>
      </c>
      <c r="D30" s="5" t="inlineStr">
        <is>
          <t>扭捏niunie 复古重工提花拼接毛边蘑菇半身裙中长款宽松A字伞裙女</t>
        </is>
      </c>
      <c r="E30" s="5" t="inlineStr">
        <is>
          <t>粉色纯棉半身裙</t>
        </is>
      </c>
      <c r="F30" s="4" t="inlineStr">
        <is>
          <t>S</t>
        </is>
      </c>
      <c r="G30" s="6" t="n">
        <v>439</v>
      </c>
      <c r="H30" s="12" t="n">
        <v>0</v>
      </c>
      <c r="I30" s="7" t="inlineStr">
        <is>
          <t>https://img.alicdn.com/bao/uploaded/i1/2217590670593/O1CN01UbZdB11GFdzY9yIY0_!!2217590670593.jpg</t>
        </is>
      </c>
      <c r="J30" s="7" t="inlineStr">
        <is>
          <t>http://item.taobao.com/item.htm?id=1024365051941</t>
        </is>
      </c>
    </row>
    <row r="31" ht="17" customHeight="1">
      <c r="A31" s="8" t="n">
        <v>28</v>
      </c>
      <c r="B31" s="8" t="inlineStr">
        <is>
          <t>NS2601-M</t>
        </is>
      </c>
      <c r="C31" s="8" t="inlineStr">
        <is>
          <t>NS2601+NS2602</t>
        </is>
      </c>
      <c r="D31" s="9" t="inlineStr">
        <is>
          <t>扭捏niunie 原创复古手缝扣树莓色圆领短袖T恤条纹撞色打底上衣</t>
        </is>
      </c>
      <c r="E31" s="9" t="inlineStr">
        <is>
          <t>树莓色手缝扣T恤</t>
        </is>
      </c>
      <c r="F31" s="8" t="inlineStr">
        <is>
          <t>M</t>
        </is>
      </c>
      <c r="G31" s="10" t="n">
        <v>269</v>
      </c>
      <c r="H31" s="8" t="n">
        <v>14</v>
      </c>
      <c r="I31" s="11" t="inlineStr">
        <is>
          <t>https://img.alicdn.com/bao/uploaded/i3/2217590670593/O1CN01FYMQjf1GFdzaHLzdh~crop,0,240,1440,1440~_!!2217590670593.jpg</t>
        </is>
      </c>
      <c r="J31" s="11" t="inlineStr">
        <is>
          <t>http://item.taobao.com/item.htm?id=1024363191729</t>
        </is>
      </c>
    </row>
    <row r="32" ht="17" customHeight="1">
      <c r="A32" s="4" t="n">
        <v>29</v>
      </c>
      <c r="B32" s="4" t="inlineStr">
        <is>
          <t>NS2602-M</t>
        </is>
      </c>
      <c r="C32" s="4" t="inlineStr">
        <is>
          <t>NS2601+NS2602</t>
        </is>
      </c>
      <c r="D32" s="5" t="inlineStr">
        <is>
          <t>扭捏niunie 原创复古手缝扣树莓色圆领短袖T恤条纹撞色打底上衣</t>
        </is>
      </c>
      <c r="E32" s="5" t="inlineStr">
        <is>
          <t>红蓝条纹长袖T恤</t>
        </is>
      </c>
      <c r="F32" s="4" t="inlineStr">
        <is>
          <t>M</t>
        </is>
      </c>
      <c r="G32" s="6" t="n">
        <v>219</v>
      </c>
      <c r="H32" s="12" t="n">
        <v>0</v>
      </c>
      <c r="I32" s="7" t="inlineStr">
        <is>
          <t>https://img.alicdn.com/bao/uploaded/i2/2217590670593/O1CN01DvvU2M1GFdza9VsSV~crop,0,240,1440,1440~_!!2217590670593.jpg</t>
        </is>
      </c>
      <c r="J32" s="7" t="inlineStr">
        <is>
          <t>http://item.taobao.com/item.htm?id=1024363191729</t>
        </is>
      </c>
    </row>
    <row r="33" ht="17" customHeight="1">
      <c r="A33" s="8" t="n">
        <v>30</v>
      </c>
      <c r="B33" s="8" t="inlineStr">
        <is>
          <t>NS2601-S</t>
        </is>
      </c>
      <c r="C33" s="8" t="inlineStr">
        <is>
          <t>NS2601+NS2602</t>
        </is>
      </c>
      <c r="D33" s="9" t="inlineStr">
        <is>
          <t>扭捏niunie 原创复古手缝扣树莓色圆领短袖T恤条纹撞色打底上衣</t>
        </is>
      </c>
      <c r="E33" s="9" t="inlineStr">
        <is>
          <t>树莓色手缝扣T恤</t>
        </is>
      </c>
      <c r="F33" s="8" t="inlineStr">
        <is>
          <t>S</t>
        </is>
      </c>
      <c r="G33" s="10" t="n">
        <v>269</v>
      </c>
      <c r="H33" s="8" t="n">
        <v>24</v>
      </c>
      <c r="I33" s="11" t="inlineStr">
        <is>
          <t>https://img.alicdn.com/bao/uploaded/i3/2217590670593/O1CN01FYMQjf1GFdzaHLzdh~crop,0,240,1440,1440~_!!2217590670593.jpg</t>
        </is>
      </c>
      <c r="J33" s="11" t="inlineStr">
        <is>
          <t>http://item.taobao.com/item.htm?id=1024363191729</t>
        </is>
      </c>
    </row>
    <row r="34" ht="17" customHeight="1">
      <c r="A34" s="4" t="n">
        <v>31</v>
      </c>
      <c r="B34" s="4" t="inlineStr">
        <is>
          <t>NS2602-S</t>
        </is>
      </c>
      <c r="C34" s="4" t="inlineStr">
        <is>
          <t>NS2601+NS2602</t>
        </is>
      </c>
      <c r="D34" s="5" t="inlineStr">
        <is>
          <t>扭捏niunie 原创复古手缝扣树莓色圆领短袖T恤条纹撞色打底上衣</t>
        </is>
      </c>
      <c r="E34" s="5" t="inlineStr">
        <is>
          <t>红蓝条纹长袖T恤</t>
        </is>
      </c>
      <c r="F34" s="4" t="inlineStr">
        <is>
          <t>S</t>
        </is>
      </c>
      <c r="G34" s="6" t="n">
        <v>219</v>
      </c>
      <c r="H34" s="12" t="n">
        <v>0</v>
      </c>
      <c r="I34" s="7" t="inlineStr">
        <is>
          <t>https://img.alicdn.com/bao/uploaded/i2/2217590670593/O1CN01DvvU2M1GFdza9VsSV~crop,0,240,1440,1440~_!!2217590670593.jpg</t>
        </is>
      </c>
      <c r="J34" s="7" t="inlineStr">
        <is>
          <t>http://item.taobao.com/item.htm?id=1024363191729</t>
        </is>
      </c>
    </row>
    <row r="35" ht="17" customHeight="1">
      <c r="A35" s="8" t="n">
        <v>32</v>
      </c>
      <c r="B35" s="8" t="inlineStr">
        <is>
          <t>TNW-1015-L</t>
        </is>
      </c>
      <c r="C35" s="8" t="inlineStr">
        <is>
          <t>TNW-1038+1015</t>
        </is>
      </c>
      <c r="D35" s="9" t="inlineStr">
        <is>
          <t>扭捏niunie英国陶瓷扣碎花拼接设计100%羊毛呢外套半裙套装女秋冬</t>
        </is>
      </c>
      <c r="E35" s="9" t="inlineStr">
        <is>
          <t>灰彩色全羊毛半裙</t>
        </is>
      </c>
      <c r="F35" s="8" t="inlineStr">
        <is>
          <t>L</t>
        </is>
      </c>
      <c r="G35" s="10" t="n">
        <v>459</v>
      </c>
      <c r="H35" s="8" t="n">
        <v>2</v>
      </c>
      <c r="I35" s="11" t="inlineStr">
        <is>
          <t>https://img.alicdn.com/bao/uploaded/i2/2217590670593/O1CN01HkMjGd1GFdxr0siAz_!!2217590670593.jpg</t>
        </is>
      </c>
      <c r="J35" s="11" t="inlineStr">
        <is>
          <t>http://item.taobao.com/item.htm?id=985767514526</t>
        </is>
      </c>
    </row>
    <row r="36" ht="17" customHeight="1">
      <c r="A36" s="4" t="n">
        <v>33</v>
      </c>
      <c r="B36" s="4" t="inlineStr">
        <is>
          <t>TNW-1038-L</t>
        </is>
      </c>
      <c r="C36" s="4" t="inlineStr">
        <is>
          <t>TNW-1038+1015</t>
        </is>
      </c>
      <c r="D36" s="5" t="inlineStr">
        <is>
          <t>扭捏niunie英国陶瓷扣碎花拼接设计100%羊毛呢外套半裙套装女秋冬</t>
        </is>
      </c>
      <c r="E36" s="5" t="inlineStr">
        <is>
          <t>灰彩色全羊毛外套</t>
        </is>
      </c>
      <c r="F36" s="4" t="inlineStr">
        <is>
          <t>L</t>
        </is>
      </c>
      <c r="G36" s="6" t="n">
        <v>799</v>
      </c>
      <c r="H36" s="4" t="n">
        <v>7</v>
      </c>
      <c r="I36" s="7" t="inlineStr">
        <is>
          <t>https://img.alicdn.com/bao/uploaded/i3/2217590670593/O1CN015vimVE1GFdxqYS9dc_!!2217590670593.jpg</t>
        </is>
      </c>
      <c r="J36" s="7" t="inlineStr">
        <is>
          <t>http://item.taobao.com/item.htm?id=985767514526</t>
        </is>
      </c>
    </row>
    <row r="37" ht="17" customHeight="1">
      <c r="A37" s="8" t="n">
        <v>34</v>
      </c>
      <c r="B37" s="8" t="inlineStr">
        <is>
          <t>TNW-1066-棕格L</t>
        </is>
      </c>
      <c r="C37" s="8" t="inlineStr">
        <is>
          <t>TNW-1066</t>
        </is>
      </c>
      <c r="D37" s="9" t="inlineStr">
        <is>
          <t>扭捏niunie 复古磨毛加厚双色格子百褶半裙女秋冬拉链中腰短裙</t>
        </is>
      </c>
      <c r="E37" s="9" t="inlineStr">
        <is>
          <t>棕色大格子毛呢短裙</t>
        </is>
      </c>
      <c r="F37" s="8" t="inlineStr">
        <is>
          <t>L</t>
        </is>
      </c>
      <c r="G37" s="10" t="n">
        <v>319</v>
      </c>
      <c r="H37" s="8" t="n">
        <v>6</v>
      </c>
      <c r="I37" s="11" t="inlineStr">
        <is>
          <t>https://img.alicdn.com/bao/uploaded/i4/2217590670593/O1CN01vkJdAW1GFdxnu1spI_!!2217590670593.jpg</t>
        </is>
      </c>
      <c r="J37" s="11" t="inlineStr">
        <is>
          <t>http://item.taobao.com/item.htm?id=986303283276</t>
        </is>
      </c>
    </row>
    <row r="38" ht="17" customHeight="1">
      <c r="A38" s="4" t="n">
        <v>35</v>
      </c>
      <c r="B38" s="4" t="inlineStr">
        <is>
          <t>TNW-1066-棕格M</t>
        </is>
      </c>
      <c r="C38" s="4" t="inlineStr">
        <is>
          <t>TNW-1066</t>
        </is>
      </c>
      <c r="D38" s="5" t="inlineStr">
        <is>
          <t>扭捏niunie 复古磨毛加厚双色格子百褶半裙女秋冬拉链中腰短裙</t>
        </is>
      </c>
      <c r="E38" s="5" t="inlineStr">
        <is>
          <t>棕色大格子毛呢短裙</t>
        </is>
      </c>
      <c r="F38" s="4" t="inlineStr">
        <is>
          <t>M</t>
        </is>
      </c>
      <c r="G38" s="6" t="n">
        <v>319</v>
      </c>
      <c r="H38" s="4" t="n">
        <v>5</v>
      </c>
      <c r="I38" s="7" t="inlineStr">
        <is>
          <t>https://img.alicdn.com/bao/uploaded/i4/2217590670593/O1CN01vkJdAW1GFdxnu1spI_!!2217590670593.jpg</t>
        </is>
      </c>
      <c r="J38" s="7" t="inlineStr">
        <is>
          <t>http://item.taobao.com/item.htm?id=986303283276</t>
        </is>
      </c>
    </row>
    <row r="39" ht="17" customHeight="1">
      <c r="A39" s="8" t="n">
        <v>36</v>
      </c>
      <c r="B39" s="8" t="inlineStr">
        <is>
          <t>TNW-1066-棕格S</t>
        </is>
      </c>
      <c r="C39" s="8" t="inlineStr">
        <is>
          <t>TNW-1066</t>
        </is>
      </c>
      <c r="D39" s="9" t="inlineStr">
        <is>
          <t>扭捏niunie 复古磨毛加厚双色格子百褶半裙女秋冬拉链中腰短裙</t>
        </is>
      </c>
      <c r="E39" s="9" t="inlineStr">
        <is>
          <t>棕色大格子毛呢短裙</t>
        </is>
      </c>
      <c r="F39" s="8" t="inlineStr">
        <is>
          <t>S</t>
        </is>
      </c>
      <c r="G39" s="10" t="n">
        <v>319</v>
      </c>
      <c r="H39" s="8" t="n">
        <v>4</v>
      </c>
      <c r="I39" s="11" t="inlineStr">
        <is>
          <t>https://img.alicdn.com/bao/uploaded/i4/2217590670593/O1CN01vkJdAW1GFdxnu1spI_!!2217590670593.jpg</t>
        </is>
      </c>
      <c r="J39" s="11" t="inlineStr">
        <is>
          <t>http://item.taobao.com/item.htm?id=986303283276</t>
        </is>
      </c>
    </row>
    <row r="40" ht="17" customHeight="1">
      <c r="A40" s="4" t="n">
        <v>37</v>
      </c>
      <c r="B40" s="4" t="inlineStr">
        <is>
          <t>TNW-1066-灰格L</t>
        </is>
      </c>
      <c r="C40" s="4" t="inlineStr">
        <is>
          <t>TNW-1066</t>
        </is>
      </c>
      <c r="D40" s="5" t="inlineStr">
        <is>
          <t>扭捏niunie 复古磨毛加厚双色格子百褶半裙女秋冬拉链中腰短裙</t>
        </is>
      </c>
      <c r="E40" s="5" t="inlineStr">
        <is>
          <t>灰咖格毛呢短裙</t>
        </is>
      </c>
      <c r="F40" s="4" t="inlineStr">
        <is>
          <t>L</t>
        </is>
      </c>
      <c r="G40" s="6" t="n">
        <v>319</v>
      </c>
      <c r="H40" s="4" t="n">
        <v>1</v>
      </c>
      <c r="I40" s="7" t="inlineStr">
        <is>
          <t>https://img.alicdn.com/bao/uploaded/i2/2217590670593/O1CN0156NeXW1GFdxtsQrA6_!!2217590670593.jpg</t>
        </is>
      </c>
      <c r="J40" s="7" t="inlineStr">
        <is>
          <t>http://item.taobao.com/item.htm?id=986303283276</t>
        </is>
      </c>
    </row>
    <row r="41" ht="17" customHeight="1">
      <c r="A41" s="8" t="n">
        <v>38</v>
      </c>
      <c r="B41" s="8" t="inlineStr">
        <is>
          <t>TNW-1066-灰格M</t>
        </is>
      </c>
      <c r="C41" s="8" t="inlineStr">
        <is>
          <t>TNW-1066</t>
        </is>
      </c>
      <c r="D41" s="9" t="inlineStr">
        <is>
          <t>扭捏niunie 复古磨毛加厚双色格子百褶半裙女秋冬拉链中腰短裙</t>
        </is>
      </c>
      <c r="E41" s="9" t="inlineStr">
        <is>
          <t>灰咖格毛呢短裙</t>
        </is>
      </c>
      <c r="F41" s="8" t="inlineStr">
        <is>
          <t>M</t>
        </is>
      </c>
      <c r="G41" s="10" t="n">
        <v>319</v>
      </c>
      <c r="H41" s="8" t="n">
        <v>1</v>
      </c>
      <c r="I41" s="11" t="inlineStr">
        <is>
          <t>https://img.alicdn.com/bao/uploaded/i2/2217590670593/O1CN0156NeXW1GFdxtsQrA6_!!2217590670593.jpg</t>
        </is>
      </c>
      <c r="J41" s="11" t="inlineStr">
        <is>
          <t>http://item.taobao.com/item.htm?id=986303283276</t>
        </is>
      </c>
    </row>
    <row r="42" ht="17" customHeight="1">
      <c r="A42" s="4" t="n">
        <v>39</v>
      </c>
      <c r="B42" s="4" t="inlineStr">
        <is>
          <t>TNW-1066-灰格S</t>
        </is>
      </c>
      <c r="C42" s="4" t="inlineStr">
        <is>
          <t>TNW-1066</t>
        </is>
      </c>
      <c r="D42" s="5" t="inlineStr">
        <is>
          <t>扭捏niunie 复古磨毛加厚双色格子百褶半裙女秋冬拉链中腰短裙</t>
        </is>
      </c>
      <c r="E42" s="5" t="inlineStr">
        <is>
          <t>灰咖格毛呢短裙</t>
        </is>
      </c>
      <c r="F42" s="4" t="inlineStr">
        <is>
          <t>S</t>
        </is>
      </c>
      <c r="G42" s="6" t="n">
        <v>319</v>
      </c>
      <c r="H42" s="12" t="n">
        <v>0</v>
      </c>
      <c r="I42" s="7" t="inlineStr">
        <is>
          <t>https://img.alicdn.com/bao/uploaded/i2/2217590670593/O1CN0156NeXW1GFdxtsQrA6_!!2217590670593.jpg</t>
        </is>
      </c>
      <c r="J42" s="7" t="inlineStr">
        <is>
          <t>http://item.taobao.com/item.htm?id=986303283276</t>
        </is>
      </c>
    </row>
    <row r="43" ht="17" customHeight="1">
      <c r="A43" s="8" t="n">
        <v>40</v>
      </c>
      <c r="B43" s="8" t="inlineStr">
        <is>
          <t>TNW-1026-灰紫M</t>
        </is>
      </c>
      <c r="C43" s="8" t="inlineStr">
        <is>
          <t>988287960500</t>
        </is>
      </c>
      <c r="D43" s="9" t="inlineStr">
        <is>
          <t>扭捏niunie 原创灯芯绒拼接风衣90白鹅绒服宽松双色羽绒服女冬季</t>
        </is>
      </c>
      <c r="E43" s="9" t="inlineStr">
        <is>
          <t>灰紫色90白鹅绒服</t>
        </is>
      </c>
      <c r="F43" s="8" t="inlineStr">
        <is>
          <t>M</t>
        </is>
      </c>
      <c r="G43" s="10" t="n">
        <v>1599</v>
      </c>
      <c r="H43" s="8" t="n">
        <v>15</v>
      </c>
      <c r="I43" s="11" t="inlineStr">
        <is>
          <t>https://img.alicdn.com/bao/uploaded/i2/2217590670593/O1CN01X0OYkB1GFdxtQI9X2_!!2217590670593.jpg</t>
        </is>
      </c>
      <c r="J43" s="11" t="inlineStr">
        <is>
          <t>http://item.taobao.com/item.htm?id=988287960500</t>
        </is>
      </c>
    </row>
    <row r="44" ht="17" customHeight="1">
      <c r="A44" s="4" t="n">
        <v>41</v>
      </c>
      <c r="B44" s="4" t="inlineStr">
        <is>
          <t>TNW-1026-灰紫S</t>
        </is>
      </c>
      <c r="C44" s="4" t="inlineStr">
        <is>
          <t>988287960500</t>
        </is>
      </c>
      <c r="D44" s="5" t="inlineStr">
        <is>
          <t>扭捏niunie 原创灯芯绒拼接风衣90白鹅绒服宽松双色羽绒服女冬季</t>
        </is>
      </c>
      <c r="E44" s="5" t="inlineStr">
        <is>
          <t>灰紫色90白鹅绒服</t>
        </is>
      </c>
      <c r="F44" s="4" t="inlineStr">
        <is>
          <t>S</t>
        </is>
      </c>
      <c r="G44" s="6" t="n">
        <v>1599</v>
      </c>
      <c r="H44" s="4" t="n">
        <v>18</v>
      </c>
      <c r="I44" s="7" t="inlineStr">
        <is>
          <t>https://img.alicdn.com/bao/uploaded/i2/2217590670593/O1CN01X0OYkB1GFdxtQI9X2_!!2217590670593.jpg</t>
        </is>
      </c>
      <c r="J44" s="7" t="inlineStr">
        <is>
          <t>http://item.taobao.com/item.htm?id=988287960500</t>
        </is>
      </c>
    </row>
    <row r="45" ht="17" customHeight="1">
      <c r="A45" s="8" t="n">
        <v>42</v>
      </c>
      <c r="B45" s="8" t="inlineStr">
        <is>
          <t>TNW-1022-蓝M</t>
        </is>
      </c>
      <c r="C45" s="8" t="inlineStr">
        <is>
          <t>TNW-1022</t>
        </is>
      </c>
      <c r="D45" s="9" t="inlineStr">
        <is>
          <t>扭捏niunie 原创碎花蓝色紫色双面穿 90白鹅绒羽绒服女面包服冬季</t>
        </is>
      </c>
      <c r="E45" s="9" t="inlineStr">
        <is>
          <t>淡紫色碎花鹅绒服</t>
        </is>
      </c>
      <c r="F45" s="8" t="inlineStr">
        <is>
          <t>M</t>
        </is>
      </c>
      <c r="G45" s="10" t="n">
        <v>1699</v>
      </c>
      <c r="H45" s="12" t="n">
        <v>0</v>
      </c>
      <c r="I45" s="11" t="inlineStr">
        <is>
          <t>https://img.alicdn.com/bao/uploaded/i2/2217590670593/O1CN01LEwkCd1GFdxuLUYPe_!!2217590670593.jpg</t>
        </is>
      </c>
      <c r="J45" s="11" t="inlineStr">
        <is>
          <t>http://item.taobao.com/item.htm?id=986853650174</t>
        </is>
      </c>
    </row>
    <row r="46" ht="17" customHeight="1">
      <c r="A46" s="4" t="n">
        <v>43</v>
      </c>
      <c r="B46" s="4" t="inlineStr">
        <is>
          <t>TNW-1022-蓝S</t>
        </is>
      </c>
      <c r="C46" s="4" t="inlineStr">
        <is>
          <t>TNW-1022</t>
        </is>
      </c>
      <c r="D46" s="5" t="inlineStr">
        <is>
          <t>扭捏niunie 原创碎花蓝色紫色双面穿 90白鹅绒羽绒服女面包服冬季</t>
        </is>
      </c>
      <c r="E46" s="5" t="inlineStr">
        <is>
          <t>淡紫色碎花鹅绒服</t>
        </is>
      </c>
      <c r="F46" s="4" t="inlineStr">
        <is>
          <t>S</t>
        </is>
      </c>
      <c r="G46" s="6" t="n">
        <v>1699</v>
      </c>
      <c r="H46" s="12" t="n">
        <v>0</v>
      </c>
      <c r="I46" s="7" t="inlineStr">
        <is>
          <t>https://img.alicdn.com/bao/uploaded/i2/2217590670593/O1CN01LEwkCd1GFdxuLUYPe_!!2217590670593.jpg</t>
        </is>
      </c>
      <c r="J46" s="7" t="inlineStr">
        <is>
          <t>http://item.taobao.com/item.htm?id=986853650174</t>
        </is>
      </c>
    </row>
    <row r="47" ht="17" customHeight="1">
      <c r="A47" s="8" t="n">
        <v>44</v>
      </c>
      <c r="B47" s="8" t="inlineStr">
        <is>
          <t>TNW-1022-紫M</t>
        </is>
      </c>
      <c r="C47" s="8" t="inlineStr">
        <is>
          <t>TNW-1022</t>
        </is>
      </c>
      <c r="D47" s="9" t="inlineStr">
        <is>
          <t>扭捏niunie 原创碎花蓝色紫色双面穿 90白鹅绒羽绒服女面包服冬季</t>
        </is>
      </c>
      <c r="E47" s="9" t="inlineStr">
        <is>
          <t>浅蓝色碎花鹅绒服</t>
        </is>
      </c>
      <c r="F47" s="8" t="inlineStr">
        <is>
          <t>M</t>
        </is>
      </c>
      <c r="G47" s="10" t="n">
        <v>1699</v>
      </c>
      <c r="H47" s="12" t="n">
        <v>0</v>
      </c>
      <c r="I47" s="11" t="inlineStr">
        <is>
          <t>https://img.alicdn.com/bao/uploaded/i4/2217590670593/O1CN01UQDPoQ1GFdyf8q7gg_!!2217590670593.jpg</t>
        </is>
      </c>
      <c r="J47" s="11" t="inlineStr">
        <is>
          <t>http://item.taobao.com/item.htm?id=986853650174</t>
        </is>
      </c>
    </row>
    <row r="48" ht="17" customHeight="1">
      <c r="A48" s="4" t="n">
        <v>45</v>
      </c>
      <c r="B48" s="4" t="inlineStr">
        <is>
          <t>TNW-1022-紫S</t>
        </is>
      </c>
      <c r="C48" s="4" t="inlineStr">
        <is>
          <t>TNW-1022</t>
        </is>
      </c>
      <c r="D48" s="5" t="inlineStr">
        <is>
          <t>扭捏niunie 原创碎花蓝色紫色双面穿 90白鹅绒羽绒服女面包服冬季</t>
        </is>
      </c>
      <c r="E48" s="5" t="inlineStr">
        <is>
          <t>浅蓝色碎花鹅绒服</t>
        </is>
      </c>
      <c r="F48" s="4" t="inlineStr">
        <is>
          <t>S</t>
        </is>
      </c>
      <c r="G48" s="6" t="n">
        <v>1699</v>
      </c>
      <c r="H48" s="12" t="n">
        <v>0</v>
      </c>
      <c r="I48" s="7" t="inlineStr">
        <is>
          <t>https://img.alicdn.com/bao/uploaded/i4/2217590670593/O1CN01UQDPoQ1GFdyf8q7gg_!!2217590670593.jpg</t>
        </is>
      </c>
      <c r="J48" s="7" t="inlineStr">
        <is>
          <t>http://item.taobao.com/item.htm?id=986853650174</t>
        </is>
      </c>
    </row>
    <row r="49" ht="17" customHeight="1">
      <c r="A49" s="8" t="n">
        <v>46</v>
      </c>
      <c r="B49" s="8" t="inlineStr">
        <is>
          <t>TNW-1026-栗M</t>
        </is>
      </c>
      <c r="C49" s="8" t="inlineStr">
        <is>
          <t>TNW-1026</t>
        </is>
      </c>
      <c r="D49" s="9" t="inlineStr">
        <is>
          <t>扭捏niunie原创设计可拆卸豹纹领栗子色90白鹅绒保暖羽绒服女冬季</t>
        </is>
      </c>
      <c r="E49" s="9" t="inlineStr">
        <is>
          <t>栗子色90白鹅绒服</t>
        </is>
      </c>
      <c r="F49" s="8" t="inlineStr">
        <is>
          <t>M</t>
        </is>
      </c>
      <c r="G49" s="10" t="n">
        <v>1599</v>
      </c>
      <c r="H49" s="8" t="n">
        <v>20</v>
      </c>
      <c r="I49" s="11" t="inlineStr">
        <is>
          <t>https://img.alicdn.com/bao/uploaded/i3/2217590670593/O1CN01724Z3D1GFdxodGxy2_!!2217590670593.jpg</t>
        </is>
      </c>
      <c r="J49" s="11" t="inlineStr">
        <is>
          <t>http://item.taobao.com/item.htm?id=986514297211</t>
        </is>
      </c>
    </row>
    <row r="50" ht="17" customHeight="1">
      <c r="A50" s="4" t="n">
        <v>47</v>
      </c>
      <c r="B50" s="4" t="inlineStr">
        <is>
          <t>TNW-1026-栗S</t>
        </is>
      </c>
      <c r="C50" s="4" t="inlineStr">
        <is>
          <t>TNW-1026</t>
        </is>
      </c>
      <c r="D50" s="5" t="inlineStr">
        <is>
          <t>扭捏niunie原创设计可拆卸豹纹领栗子色90白鹅绒保暖羽绒服女冬季</t>
        </is>
      </c>
      <c r="E50" s="5" t="inlineStr">
        <is>
          <t>栗子色90白鹅绒服</t>
        </is>
      </c>
      <c r="F50" s="4" t="inlineStr">
        <is>
          <t>S</t>
        </is>
      </c>
      <c r="G50" s="6" t="n">
        <v>1599</v>
      </c>
      <c r="H50" s="4" t="n">
        <v>19</v>
      </c>
      <c r="I50" s="7" t="inlineStr">
        <is>
          <t>https://img.alicdn.com/bao/uploaded/i3/2217590670593/O1CN01724Z3D1GFdxodGxy2_!!2217590670593.jpg</t>
        </is>
      </c>
      <c r="J50" s="7" t="inlineStr">
        <is>
          <t>http://item.taobao.com/item.htm?id=986514297211</t>
        </is>
      </c>
    </row>
    <row r="51" ht="17" customHeight="1">
      <c r="A51" s="8" t="n">
        <v>48</v>
      </c>
      <c r="B51" s="8" t="inlineStr">
        <is>
          <t>TNW-1015-M</t>
        </is>
      </c>
      <c r="C51" s="8" t="inlineStr">
        <is>
          <t>TNW-1038+1015</t>
        </is>
      </c>
      <c r="D51" s="9" t="inlineStr">
        <is>
          <t>扭捏niunie英国陶瓷扣碎花拼接设计100%羊毛呢外套半裙套装女秋冬</t>
        </is>
      </c>
      <c r="E51" s="9" t="inlineStr">
        <is>
          <t>灰彩色全羊毛半裙</t>
        </is>
      </c>
      <c r="F51" s="8" t="inlineStr">
        <is>
          <t>M</t>
        </is>
      </c>
      <c r="G51" s="10" t="n">
        <v>459</v>
      </c>
      <c r="H51" s="8" t="n">
        <v>6</v>
      </c>
      <c r="I51" s="11" t="inlineStr">
        <is>
          <t>https://img.alicdn.com/bao/uploaded/i2/2217590670593/O1CN01HkMjGd1GFdxr0siAz_!!2217590670593.jpg</t>
        </is>
      </c>
      <c r="J51" s="11" t="inlineStr">
        <is>
          <t>http://item.taobao.com/item.htm?id=985767514526</t>
        </is>
      </c>
    </row>
    <row r="52" ht="17" customHeight="1">
      <c r="A52" s="4" t="n">
        <v>49</v>
      </c>
      <c r="B52" s="4" t="inlineStr">
        <is>
          <t>TNW-1038-M</t>
        </is>
      </c>
      <c r="C52" s="4" t="inlineStr">
        <is>
          <t>TNW-1038+1015</t>
        </is>
      </c>
      <c r="D52" s="5" t="inlineStr">
        <is>
          <t>扭捏niunie英国陶瓷扣碎花拼接设计100%羊毛呢外套半裙套装女秋冬</t>
        </is>
      </c>
      <c r="E52" s="5" t="inlineStr">
        <is>
          <t>灰彩色全羊毛外套</t>
        </is>
      </c>
      <c r="F52" s="4" t="inlineStr">
        <is>
          <t>M</t>
        </is>
      </c>
      <c r="G52" s="6" t="n">
        <v>799</v>
      </c>
      <c r="H52" s="4" t="n">
        <v>5</v>
      </c>
      <c r="I52" s="7" t="inlineStr">
        <is>
          <t>https://img.alicdn.com/bao/uploaded/i3/2217590670593/O1CN015vimVE1GFdxqYS9dc_!!2217590670593.jpg</t>
        </is>
      </c>
      <c r="J52" s="7" t="inlineStr">
        <is>
          <t>http://item.taobao.com/item.htm?id=985767514526</t>
        </is>
      </c>
    </row>
    <row r="53" ht="17" customHeight="1">
      <c r="A53" s="8" t="n">
        <v>50</v>
      </c>
      <c r="B53" s="8" t="inlineStr">
        <is>
          <t>TNW-1015-S</t>
        </is>
      </c>
      <c r="C53" s="8" t="inlineStr">
        <is>
          <t>TNW-1038+1015</t>
        </is>
      </c>
      <c r="D53" s="9" t="inlineStr">
        <is>
          <t>扭捏niunie英国陶瓷扣碎花拼接设计100%羊毛呢外套半裙套装女秋冬</t>
        </is>
      </c>
      <c r="E53" s="9" t="inlineStr">
        <is>
          <t>灰彩色全羊毛半裙</t>
        </is>
      </c>
      <c r="F53" s="8" t="inlineStr">
        <is>
          <t>S</t>
        </is>
      </c>
      <c r="G53" s="10" t="n">
        <v>459</v>
      </c>
      <c r="H53" s="8" t="n">
        <v>1</v>
      </c>
      <c r="I53" s="11" t="inlineStr">
        <is>
          <t>https://img.alicdn.com/bao/uploaded/i2/2217590670593/O1CN01HkMjGd1GFdxr0siAz_!!2217590670593.jpg</t>
        </is>
      </c>
      <c r="J53" s="11" t="inlineStr">
        <is>
          <t>http://item.taobao.com/item.htm?id=985767514526</t>
        </is>
      </c>
    </row>
    <row r="54" ht="17" customHeight="1">
      <c r="A54" s="4" t="n">
        <v>51</v>
      </c>
      <c r="B54" s="4" t="inlineStr">
        <is>
          <t>TNW-1038-S</t>
        </is>
      </c>
      <c r="C54" s="4" t="inlineStr">
        <is>
          <t>TNW-1038+1015</t>
        </is>
      </c>
      <c r="D54" s="5" t="inlineStr">
        <is>
          <t>扭捏niunie英国陶瓷扣碎花拼接设计100%羊毛呢外套半裙套装女秋冬</t>
        </is>
      </c>
      <c r="E54" s="5" t="inlineStr">
        <is>
          <t>灰彩色全羊毛外套</t>
        </is>
      </c>
      <c r="F54" s="4" t="inlineStr">
        <is>
          <t>S</t>
        </is>
      </c>
      <c r="G54" s="6" t="n">
        <v>799</v>
      </c>
      <c r="H54" s="4" t="n">
        <v>13</v>
      </c>
      <c r="I54" s="7" t="inlineStr">
        <is>
          <t>https://img.alicdn.com/bao/uploaded/i3/2217590670593/O1CN015vimVE1GFdxqYS9dc_!!2217590670593.jpg</t>
        </is>
      </c>
      <c r="J54" s="7" t="inlineStr">
        <is>
          <t>http://item.taobao.com/item.htm?id=985767514526</t>
        </is>
      </c>
    </row>
    <row r="55" ht="17" customHeight="1">
      <c r="A55" s="8" t="n">
        <v>52</v>
      </c>
      <c r="B55" s="8" t="inlineStr">
        <is>
          <t>TNW-1065-灰M</t>
        </is>
      </c>
      <c r="C55" s="8" t="inlineStr">
        <is>
          <t>TNW-1065</t>
        </is>
      </c>
      <c r="D55" s="9" t="inlineStr">
        <is>
          <t>扭捏niunie 复古豹纹领拼接双色打底上衣修身显瘦保暖长袖T恤秋冬</t>
        </is>
      </c>
      <c r="E55" s="9" t="inlineStr">
        <is>
          <t>灰色豹纹拼接上衣</t>
        </is>
      </c>
      <c r="F55" s="8" t="inlineStr">
        <is>
          <t>M</t>
        </is>
      </c>
      <c r="G55" s="10" t="n">
        <v>319</v>
      </c>
      <c r="H55" s="12" t="n">
        <v>0</v>
      </c>
      <c r="I55" s="11" t="inlineStr">
        <is>
          <t>https://img.alicdn.com/bao/uploaded/i4/2217590670593/O1CN01wJcGZl1GFdsW6QPHZ_!!2217590670593.jpg</t>
        </is>
      </c>
      <c r="J55" s="11" t="inlineStr">
        <is>
          <t>http://item.taobao.com/item.htm?id=987004464285</t>
        </is>
      </c>
    </row>
    <row r="56" ht="17" customHeight="1">
      <c r="A56" s="4" t="n">
        <v>53</v>
      </c>
      <c r="B56" s="4" t="inlineStr">
        <is>
          <t>TNW-1065-灰S</t>
        </is>
      </c>
      <c r="C56" s="4" t="inlineStr">
        <is>
          <t>TNW-1065</t>
        </is>
      </c>
      <c r="D56" s="5" t="inlineStr">
        <is>
          <t>扭捏niunie 复古豹纹领拼接双色打底上衣修身显瘦保暖长袖T恤秋冬</t>
        </is>
      </c>
      <c r="E56" s="5" t="inlineStr">
        <is>
          <t>灰色豹纹拼接上衣</t>
        </is>
      </c>
      <c r="F56" s="4" t="inlineStr">
        <is>
          <t>S</t>
        </is>
      </c>
      <c r="G56" s="6" t="n">
        <v>319</v>
      </c>
      <c r="H56" s="12" t="n">
        <v>0</v>
      </c>
      <c r="I56" s="7" t="inlineStr">
        <is>
          <t>https://img.alicdn.com/bao/uploaded/i4/2217590670593/O1CN01wJcGZl1GFdsW6QPHZ_!!2217590670593.jpg</t>
        </is>
      </c>
      <c r="J56" s="7" t="inlineStr">
        <is>
          <t>http://item.taobao.com/item.htm?id=987004464285</t>
        </is>
      </c>
    </row>
    <row r="57" ht="17" customHeight="1">
      <c r="A57" s="8" t="n">
        <v>54</v>
      </c>
      <c r="B57" s="8" t="inlineStr">
        <is>
          <t>TNW-1065-棕M</t>
        </is>
      </c>
      <c r="C57" s="8" t="inlineStr">
        <is>
          <t>TNW-1065</t>
        </is>
      </c>
      <c r="D57" s="9" t="inlineStr">
        <is>
          <t>扭捏niunie 复古豹纹领拼接双色打底上衣修身显瘦保暖长袖T恤秋冬</t>
        </is>
      </c>
      <c r="E57" s="9" t="inlineStr">
        <is>
          <t>棕色豹纹拼接上衣</t>
        </is>
      </c>
      <c r="F57" s="8" t="inlineStr">
        <is>
          <t>M</t>
        </is>
      </c>
      <c r="G57" s="10" t="n">
        <v>319</v>
      </c>
      <c r="H57" s="12" t="n">
        <v>0</v>
      </c>
      <c r="I57" s="11" t="inlineStr">
        <is>
          <t>https://img.alicdn.com/bao/uploaded/i4/2217590670593/O1CN01NruOcS1GFdxuGZa9y_!!2217590670593.jpg</t>
        </is>
      </c>
      <c r="J57" s="11" t="inlineStr">
        <is>
          <t>http://item.taobao.com/item.htm?id=987004464285</t>
        </is>
      </c>
    </row>
    <row r="58" ht="17" customHeight="1">
      <c r="A58" s="4" t="n">
        <v>55</v>
      </c>
      <c r="B58" s="4" t="inlineStr">
        <is>
          <t>TNW-1065-棕S</t>
        </is>
      </c>
      <c r="C58" s="4" t="inlineStr">
        <is>
          <t>TNW-1065</t>
        </is>
      </c>
      <c r="D58" s="5" t="inlineStr">
        <is>
          <t>扭捏niunie 复古豹纹领拼接双色打底上衣修身显瘦保暖长袖T恤秋冬</t>
        </is>
      </c>
      <c r="E58" s="5" t="inlineStr">
        <is>
          <t>棕色豹纹拼接上衣</t>
        </is>
      </c>
      <c r="F58" s="4" t="inlineStr">
        <is>
          <t>S</t>
        </is>
      </c>
      <c r="G58" s="6" t="n">
        <v>319</v>
      </c>
      <c r="H58" s="12" t="n">
        <v>0</v>
      </c>
      <c r="I58" s="7" t="inlineStr">
        <is>
          <t>https://img.alicdn.com/bao/uploaded/i4/2217590670593/O1CN01NruOcS1GFdxuGZa9y_!!2217590670593.jpg</t>
        </is>
      </c>
      <c r="J58" s="7" t="inlineStr">
        <is>
          <t>http://item.taobao.com/item.htm?id=987004464285</t>
        </is>
      </c>
    </row>
    <row r="59" ht="17" customHeight="1">
      <c r="A59" s="8" t="n">
        <v>56</v>
      </c>
      <c r="B59" s="8" t="inlineStr">
        <is>
          <t>TNW-0902-M</t>
        </is>
      </c>
      <c r="C59" s="8" t="inlineStr">
        <is>
          <t>TNW-0928-0902</t>
        </is>
      </c>
      <c r="D59" s="9" t="inlineStr">
        <is>
          <t>扭捏niunie 100%全羊毛棕色毛呢外套碎花拼接双层半裙套装女秋冬</t>
        </is>
      </c>
      <c r="E59" s="9" t="inlineStr">
        <is>
          <t>碎花拼接毛呢短裙</t>
        </is>
      </c>
      <c r="F59" s="8" t="inlineStr">
        <is>
          <t>M</t>
        </is>
      </c>
      <c r="G59" s="10" t="n">
        <v>459</v>
      </c>
      <c r="H59" s="8" t="n">
        <v>1</v>
      </c>
      <c r="I59" s="11" t="inlineStr">
        <is>
          <t>https://img.alicdn.com/bao/uploaded/i3/2217590670593/O1CN01XhsTNh1GFdxo6hI1k_!!2217590670593.jpg</t>
        </is>
      </c>
      <c r="J59" s="11" t="inlineStr">
        <is>
          <t>http://item.taobao.com/item.htm?id=986262689553</t>
        </is>
      </c>
    </row>
    <row r="60" ht="17" customHeight="1">
      <c r="A60" s="4" t="n">
        <v>57</v>
      </c>
      <c r="B60" s="4" t="inlineStr">
        <is>
          <t>TNW-0928-M</t>
        </is>
      </c>
      <c r="C60" s="4" t="inlineStr">
        <is>
          <t>TNW-0928-0902</t>
        </is>
      </c>
      <c r="D60" s="5" t="inlineStr">
        <is>
          <t>扭捏niunie 100%全羊毛棕色毛呢外套碎花拼接双层半裙套装女秋冬</t>
        </is>
      </c>
      <c r="E60" s="5" t="inlineStr">
        <is>
          <t>棕色全羊毛外套</t>
        </is>
      </c>
      <c r="F60" s="4" t="inlineStr">
        <is>
          <t>M</t>
        </is>
      </c>
      <c r="G60" s="6" t="n">
        <v>769</v>
      </c>
      <c r="H60" s="4" t="n">
        <v>1</v>
      </c>
      <c r="I60" s="7" t="inlineStr">
        <is>
          <t>https://img.alicdn.com/bao/uploaded/i3/2217590670593/O1CN01i4vC8Q1GFdxpQ8ynz_!!2217590670593.jpg</t>
        </is>
      </c>
      <c r="J60" s="7" t="inlineStr">
        <is>
          <t>http://item.taobao.com/item.htm?id=986262689553</t>
        </is>
      </c>
    </row>
    <row r="61" ht="17" customHeight="1">
      <c r="A61" s="8" t="n">
        <v>58</v>
      </c>
      <c r="B61" s="8" t="inlineStr">
        <is>
          <t>TNW-0902-S</t>
        </is>
      </c>
      <c r="C61" s="8" t="inlineStr">
        <is>
          <t>TNW-0928-0902</t>
        </is>
      </c>
      <c r="D61" s="9" t="inlineStr">
        <is>
          <t>扭捏niunie 100%全羊毛棕色毛呢外套碎花拼接双层半裙套装女秋冬</t>
        </is>
      </c>
      <c r="E61" s="9" t="inlineStr">
        <is>
          <t>碎花拼接毛呢短裙</t>
        </is>
      </c>
      <c r="F61" s="8" t="inlineStr">
        <is>
          <t>S</t>
        </is>
      </c>
      <c r="G61" s="10" t="n">
        <v>459</v>
      </c>
      <c r="H61" s="8" t="n">
        <v>1</v>
      </c>
      <c r="I61" s="11" t="inlineStr">
        <is>
          <t>https://img.alicdn.com/bao/uploaded/i3/2217590670593/O1CN01XhsTNh1GFdxo6hI1k_!!2217590670593.jpg</t>
        </is>
      </c>
      <c r="J61" s="11" t="inlineStr">
        <is>
          <t>http://item.taobao.com/item.htm?id=986262689553</t>
        </is>
      </c>
    </row>
    <row r="62" ht="17" customHeight="1">
      <c r="A62" s="4" t="n">
        <v>59</v>
      </c>
      <c r="B62" s="4" t="inlineStr">
        <is>
          <t>TNW-0928-S</t>
        </is>
      </c>
      <c r="C62" s="4" t="inlineStr">
        <is>
          <t>TNW-0928-0902</t>
        </is>
      </c>
      <c r="D62" s="5" t="inlineStr">
        <is>
          <t>扭捏niunie 100%全羊毛棕色毛呢外套碎花拼接双层半裙套装女秋冬</t>
        </is>
      </c>
      <c r="E62" s="5" t="inlineStr">
        <is>
          <t>棕色全羊毛外套</t>
        </is>
      </c>
      <c r="F62" s="4" t="inlineStr">
        <is>
          <t>S</t>
        </is>
      </c>
      <c r="G62" s="6" t="n">
        <v>769</v>
      </c>
      <c r="H62" s="4" t="n">
        <v>1</v>
      </c>
      <c r="I62" s="7" t="inlineStr">
        <is>
          <t>https://img.alicdn.com/bao/uploaded/i3/2217590670593/O1CN01i4vC8Q1GFdxpQ8ynz_!!2217590670593.jpg</t>
        </is>
      </c>
      <c r="J62" s="7" t="inlineStr">
        <is>
          <t>http://item.taobao.com/item.htm?id=986262689553</t>
        </is>
      </c>
    </row>
    <row r="63" ht="17" customHeight="1">
      <c r="A63" s="8" t="n">
        <v>60</v>
      </c>
      <c r="B63" s="8" t="inlineStr">
        <is>
          <t>TNW-0907-M</t>
        </is>
      </c>
      <c r="C63" s="8" t="inlineStr">
        <is>
          <t>TNW-0907</t>
        </is>
      </c>
      <c r="D63" s="9" t="inlineStr">
        <is>
          <t>扭捏niunie原创紫色碎花双面穿毛巾布连帽拉链卫衣女宽松开衫外套</t>
        </is>
      </c>
      <c r="E63" s="9" t="inlineStr">
        <is>
          <t>紫色碎花双面穿卫衣</t>
        </is>
      </c>
      <c r="F63" s="8" t="inlineStr">
        <is>
          <t>M</t>
        </is>
      </c>
      <c r="G63" s="10" t="n">
        <v>549</v>
      </c>
      <c r="H63" s="12" t="n">
        <v>0</v>
      </c>
      <c r="I63" s="11" t="inlineStr">
        <is>
          <t>https://img.alicdn.com/bao/uploaded/i2/2217590670593/O1CN01BCWHxV1GFdxpKku1t_!!2217590670593.jpg</t>
        </is>
      </c>
      <c r="J63" s="11" t="inlineStr">
        <is>
          <t>http://item.taobao.com/item.htm?id=985549314110</t>
        </is>
      </c>
    </row>
    <row r="64" ht="17" customHeight="1">
      <c r="A64" s="4" t="n">
        <v>61</v>
      </c>
      <c r="B64" s="4" t="inlineStr">
        <is>
          <t>TNW-0907-S</t>
        </is>
      </c>
      <c r="C64" s="4" t="inlineStr">
        <is>
          <t>TNW-0907</t>
        </is>
      </c>
      <c r="D64" s="5" t="inlineStr">
        <is>
          <t>扭捏niunie原创紫色碎花双面穿毛巾布连帽拉链卫衣女宽松开衫外套</t>
        </is>
      </c>
      <c r="E64" s="5" t="inlineStr">
        <is>
          <t>紫色碎花双面穿卫衣</t>
        </is>
      </c>
      <c r="F64" s="4" t="inlineStr">
        <is>
          <t>S</t>
        </is>
      </c>
      <c r="G64" s="6" t="n">
        <v>549</v>
      </c>
      <c r="H64" s="12" t="n">
        <v>0</v>
      </c>
      <c r="I64" s="7" t="inlineStr">
        <is>
          <t>https://img.alicdn.com/bao/uploaded/i2/2217590670593/O1CN01BCWHxV1GFdxpKku1t_!!2217590670593.jpg</t>
        </is>
      </c>
      <c r="J64" s="7" t="inlineStr">
        <is>
          <t>http://item.taobao.com/item.htm?id=985549314110</t>
        </is>
      </c>
    </row>
    <row r="65" ht="17" customHeight="1">
      <c r="A65" s="8" t="n">
        <v>62</v>
      </c>
      <c r="B65" s="8" t="inlineStr">
        <is>
          <t>TNW-1025-M</t>
        </is>
      </c>
      <c r="C65" s="8" t="inlineStr">
        <is>
          <t>TNW-1025</t>
        </is>
      </c>
      <c r="D65" s="9" t="inlineStr">
        <is>
          <t>扭捏niunie原创设计 复古条纹直筒休闲裤宽松显瘦阔腿裤长裤女</t>
        </is>
      </c>
      <c r="E65" s="9" t="inlineStr">
        <is>
          <t>条纹休闲裤</t>
        </is>
      </c>
      <c r="F65" s="8" t="inlineStr">
        <is>
          <t>M</t>
        </is>
      </c>
      <c r="G65" s="10" t="n">
        <v>369</v>
      </c>
      <c r="H65" s="8" t="n">
        <v>7</v>
      </c>
      <c r="I65" s="11" t="inlineStr">
        <is>
          <t>https://img.alicdn.com/bao/uploaded/i3/2217590670593/O1CN01GHGMes1GFdyL84IxU_!!2217590670593.jpg</t>
        </is>
      </c>
      <c r="J65" s="11" t="inlineStr">
        <is>
          <t>http://item.taobao.com/item.htm?id=978171353149</t>
        </is>
      </c>
    </row>
    <row r="66" ht="17" customHeight="1">
      <c r="A66" s="4" t="n">
        <v>63</v>
      </c>
      <c r="B66" s="4" t="inlineStr">
        <is>
          <t>TNW-1025-S</t>
        </is>
      </c>
      <c r="C66" s="4" t="inlineStr">
        <is>
          <t>TNW-1025</t>
        </is>
      </c>
      <c r="D66" s="5" t="inlineStr">
        <is>
          <t>扭捏niunie原创设计 复古条纹直筒休闲裤宽松显瘦阔腿裤长裤女</t>
        </is>
      </c>
      <c r="E66" s="5" t="inlineStr">
        <is>
          <t>条纹休闲裤</t>
        </is>
      </c>
      <c r="F66" s="4" t="inlineStr">
        <is>
          <t>S</t>
        </is>
      </c>
      <c r="G66" s="6" t="n">
        <v>369</v>
      </c>
      <c r="H66" s="4" t="n">
        <v>7</v>
      </c>
      <c r="I66" s="7" t="inlineStr">
        <is>
          <t>https://img.alicdn.com/bao/uploaded/i3/2217590670593/O1CN01GHGMes1GFdyL84IxU_!!2217590670593.jpg</t>
        </is>
      </c>
      <c r="J66" s="7" t="inlineStr">
        <is>
          <t>http://item.taobao.com/item.htm?id=978171353149</t>
        </is>
      </c>
    </row>
    <row r="67" ht="17" customHeight="1">
      <c r="A67" s="8" t="n">
        <v>64</v>
      </c>
      <c r="B67" s="8" t="inlineStr">
        <is>
          <t>NN-2523-M</t>
        </is>
      </c>
      <c r="C67" s="8" t="inlineStr">
        <is>
          <t>NN-2523</t>
        </is>
      </c>
      <c r="D67" s="9" t="inlineStr">
        <is>
          <t>扭捏niunie原创设计丝绒格子碎花拼接半身裙宽松中腰A字中长裙</t>
        </is>
      </c>
      <c r="E67" s="9" t="inlineStr">
        <is>
          <t>紫色丝绒拼接半裙</t>
        </is>
      </c>
      <c r="F67" s="8" t="inlineStr">
        <is>
          <t>M</t>
        </is>
      </c>
      <c r="G67" s="10" t="n">
        <v>399</v>
      </c>
      <c r="H67" s="8" t="n">
        <v>19</v>
      </c>
      <c r="I67" s="11" t="inlineStr">
        <is>
          <t>https://img.alicdn.com/bao/uploaded/i3/2217590670593/O1CN01Womm751GFdyKz1kKk_!!2217590670593.jpg</t>
        </is>
      </c>
      <c r="J67" s="11" t="inlineStr">
        <is>
          <t>http://item.taobao.com/item.htm?id=977445818976</t>
        </is>
      </c>
    </row>
    <row r="68" ht="17" customHeight="1">
      <c r="A68" s="4" t="n">
        <v>65</v>
      </c>
      <c r="B68" s="4" t="inlineStr">
        <is>
          <t>NN-2523-S</t>
        </is>
      </c>
      <c r="C68" s="4" t="inlineStr">
        <is>
          <t>NN-2523</t>
        </is>
      </c>
      <c r="D68" s="5" t="inlineStr">
        <is>
          <t>扭捏niunie原创设计丝绒格子碎花拼接半身裙宽松中腰A字中长裙</t>
        </is>
      </c>
      <c r="E68" s="5" t="inlineStr">
        <is>
          <t>紫色丝绒拼接半裙</t>
        </is>
      </c>
      <c r="F68" s="4" t="inlineStr">
        <is>
          <t>S</t>
        </is>
      </c>
      <c r="G68" s="6" t="n">
        <v>399</v>
      </c>
      <c r="H68" s="4" t="n">
        <v>17</v>
      </c>
      <c r="I68" s="7" t="inlineStr">
        <is>
          <t>https://img.alicdn.com/bao/uploaded/i3/2217590670593/O1CN01Womm751GFdyKz1kKk_!!2217590670593.jpg</t>
        </is>
      </c>
      <c r="J68" s="7" t="inlineStr">
        <is>
          <t>http://item.taobao.com/item.htm?id=977445818976</t>
        </is>
      </c>
    </row>
    <row r="69" ht="17" customHeight="1">
      <c r="A69" s="8" t="n">
        <v>66</v>
      </c>
      <c r="B69" s="8" t="inlineStr">
        <is>
          <t>NN2551-棕M</t>
        </is>
      </c>
      <c r="C69" s="8" t="inlineStr">
        <is>
          <t>NN2551-棕</t>
        </is>
      </c>
      <c r="D69" s="9" t="inlineStr">
        <is>
          <t>扭捏niunie原创设计{爱读书的小猫}浅棕色圆领套头百搭针织毛衣女</t>
        </is>
      </c>
      <c r="E69" s="9" t="inlineStr">
        <is>
          <t>浅棕色小猫毛衣</t>
        </is>
      </c>
      <c r="F69" s="8" t="inlineStr">
        <is>
          <t>M</t>
        </is>
      </c>
      <c r="G69" s="10" t="n">
        <v>369</v>
      </c>
      <c r="H69" s="8" t="n">
        <v>13</v>
      </c>
      <c r="I69" s="11" t="inlineStr">
        <is>
          <t>https://img.alicdn.com/bao/uploaded/i2/2217590670593/O1CN01SEVO7y1GFdxQhadvN_!!2217590670593.jpg</t>
        </is>
      </c>
      <c r="J69" s="11" t="inlineStr">
        <is>
          <t>http://item.taobao.com/item.htm?id=976915275755</t>
        </is>
      </c>
    </row>
    <row r="70" ht="17" customHeight="1">
      <c r="A70" s="4" t="n">
        <v>67</v>
      </c>
      <c r="B70" s="4" t="inlineStr">
        <is>
          <t>NN2551-棕S</t>
        </is>
      </c>
      <c r="C70" s="4" t="inlineStr">
        <is>
          <t>NN2551-棕</t>
        </is>
      </c>
      <c r="D70" s="5" t="inlineStr">
        <is>
          <t>扭捏niunie原创设计{爱读书的小猫}浅棕色圆领套头百搭针织毛衣女</t>
        </is>
      </c>
      <c r="E70" s="5" t="inlineStr">
        <is>
          <t>浅棕色小猫毛衣</t>
        </is>
      </c>
      <c r="F70" s="4" t="inlineStr">
        <is>
          <t>S</t>
        </is>
      </c>
      <c r="G70" s="6" t="n">
        <v>369</v>
      </c>
      <c r="H70" s="4" t="n">
        <v>6</v>
      </c>
      <c r="I70" s="7" t="inlineStr">
        <is>
          <t>https://img.alicdn.com/bao/uploaded/i2/2217590670593/O1CN01SEVO7y1GFdxQhadvN_!!2217590670593.jpg</t>
        </is>
      </c>
      <c r="J70" s="7" t="inlineStr">
        <is>
          <t>http://item.taobao.com/item.htm?id=976915275755</t>
        </is>
      </c>
    </row>
    <row r="71" ht="17" customHeight="1">
      <c r="A71" s="8" t="n">
        <v>68</v>
      </c>
      <c r="B71" s="8" t="inlineStr">
        <is>
          <t>TN-1067-绿M</t>
        </is>
      </c>
      <c r="C71" s="8" t="inlineStr">
        <is>
          <t>TN-1067</t>
        </is>
      </c>
      <c r="D71" s="9" t="inlineStr">
        <is>
          <t>扭捏niunie原创设计复古叠穿苔藓绿羊羔毛马甲背心休闲百搭上衣女</t>
        </is>
      </c>
      <c r="E71" s="9" t="inlineStr">
        <is>
          <t>苔藓绿羊羔毛马甲</t>
        </is>
      </c>
      <c r="F71" s="8" t="inlineStr">
        <is>
          <t>M</t>
        </is>
      </c>
      <c r="G71" s="10" t="n">
        <v>469</v>
      </c>
      <c r="H71" s="8" t="n">
        <v>8</v>
      </c>
      <c r="I71" s="11" t="inlineStr">
        <is>
          <t>https://img.alicdn.com/bao/uploaded/i3/2217590670593/O1CN01Y2FkAx1GFdyLoBGdT_!!2217590670593.jpg</t>
        </is>
      </c>
      <c r="J71" s="11" t="inlineStr">
        <is>
          <t>http://item.taobao.com/item.htm?id=978806752833</t>
        </is>
      </c>
    </row>
    <row r="72" ht="17" customHeight="1">
      <c r="A72" s="4" t="n">
        <v>69</v>
      </c>
      <c r="B72" s="4" t="inlineStr">
        <is>
          <t>TN-1067-绿S</t>
        </is>
      </c>
      <c r="C72" s="4" t="inlineStr">
        <is>
          <t>TN-1067</t>
        </is>
      </c>
      <c r="D72" s="5" t="inlineStr">
        <is>
          <t>扭捏niunie原创设计复古叠穿苔藓绿羊羔毛马甲背心休闲百搭上衣女</t>
        </is>
      </c>
      <c r="E72" s="5" t="inlineStr">
        <is>
          <t>苔藓绿羊羔毛马甲</t>
        </is>
      </c>
      <c r="F72" s="4" t="inlineStr">
        <is>
          <t>S</t>
        </is>
      </c>
      <c r="G72" s="6" t="n">
        <v>469</v>
      </c>
      <c r="H72" s="4" t="n">
        <v>9</v>
      </c>
      <c r="I72" s="7" t="inlineStr">
        <is>
          <t>https://img.alicdn.com/bao/uploaded/i3/2217590670593/O1CN01Y2FkAx1GFdyLoBGdT_!!2217590670593.jpg</t>
        </is>
      </c>
      <c r="J72" s="7" t="inlineStr">
        <is>
          <t>http://item.taobao.com/item.htm?id=978806752833</t>
        </is>
      </c>
    </row>
    <row r="73" ht="17" customHeight="1">
      <c r="A73" s="8" t="n">
        <v>70</v>
      </c>
      <c r="B73" s="8" t="inlineStr">
        <is>
          <t>NN2551-蓝M</t>
        </is>
      </c>
      <c r="C73" s="8" t="inlineStr">
        <is>
          <t>NN2551-蓝</t>
        </is>
      </c>
      <c r="D73" s="9" t="inlineStr">
        <is>
          <t>扭捏niunie原创设计{爱读书的小猫}蓝色圆领套头百搭针织毛衣女</t>
        </is>
      </c>
      <c r="E73" s="9" t="inlineStr">
        <is>
          <t>蓝色小猫毛衣</t>
        </is>
      </c>
      <c r="F73" s="8" t="inlineStr">
        <is>
          <t>M</t>
        </is>
      </c>
      <c r="G73" s="10" t="n">
        <v>369</v>
      </c>
      <c r="H73" s="8" t="n">
        <v>10</v>
      </c>
      <c r="I73" s="11" t="inlineStr">
        <is>
          <t>https://img.alicdn.com/bao/uploaded/i4/2217590670593/O1CN01iGs4Ko1GFdxS4uOcR_!!2217590670593.jpg</t>
        </is>
      </c>
      <c r="J73" s="11" t="inlineStr">
        <is>
          <t>http://item.taobao.com/item.htm?id=977412926516</t>
        </is>
      </c>
    </row>
    <row r="74" ht="17" customHeight="1">
      <c r="A74" s="4" t="n">
        <v>71</v>
      </c>
      <c r="B74" s="4" t="inlineStr">
        <is>
          <t>NN2551-蓝S</t>
        </is>
      </c>
      <c r="C74" s="4" t="inlineStr">
        <is>
          <t>NN2551-蓝</t>
        </is>
      </c>
      <c r="D74" s="5" t="inlineStr">
        <is>
          <t>扭捏niunie原创设计{爱读书的小猫}蓝色圆领套头百搭针织毛衣女</t>
        </is>
      </c>
      <c r="E74" s="5" t="inlineStr">
        <is>
          <t>蓝色小猫毛衣</t>
        </is>
      </c>
      <c r="F74" s="4" t="inlineStr">
        <is>
          <t>S</t>
        </is>
      </c>
      <c r="G74" s="6" t="n">
        <v>369</v>
      </c>
      <c r="H74" s="4" t="n">
        <v>11</v>
      </c>
      <c r="I74" s="7" t="inlineStr">
        <is>
          <t>https://img.alicdn.com/bao/uploaded/i4/2217590670593/O1CN01iGs4Ko1GFdxS4uOcR_!!2217590670593.jpg</t>
        </is>
      </c>
      <c r="J74" s="7" t="inlineStr">
        <is>
          <t>http://item.taobao.com/item.htm?id=977412926516</t>
        </is>
      </c>
    </row>
    <row r="75" ht="17" customHeight="1">
      <c r="A75" s="8" t="n">
        <v>72</v>
      </c>
      <c r="B75" s="8" t="inlineStr">
        <is>
          <t>TN-1067-紫M</t>
        </is>
      </c>
      <c r="C75" s="8" t="inlineStr">
        <is>
          <t>TN-1067</t>
        </is>
      </c>
      <c r="D75" s="9" t="inlineStr">
        <is>
          <t>扭捏niunie原创设计复古叠搭彩色格子紫色羊羔毛马甲休闲百搭上衣</t>
        </is>
      </c>
      <c r="E75" s="9" t="inlineStr">
        <is>
          <t>紫色羊羔毛马甲</t>
        </is>
      </c>
      <c r="F75" s="8" t="inlineStr">
        <is>
          <t>M</t>
        </is>
      </c>
      <c r="G75" s="10" t="n">
        <v>469</v>
      </c>
      <c r="H75" s="8" t="n">
        <v>21</v>
      </c>
      <c r="I75" s="11" t="inlineStr">
        <is>
          <t>https://img.alicdn.com/bao/uploaded/i4/2217590670593/O1CN01rjhVF31GFdyKzBcj6_!!2217590670593.jpg</t>
        </is>
      </c>
      <c r="J75" s="11" t="inlineStr">
        <is>
          <t>http://item.taobao.com/item.htm?id=978773628130</t>
        </is>
      </c>
    </row>
    <row r="76" ht="17" customHeight="1">
      <c r="A76" s="4" t="n">
        <v>73</v>
      </c>
      <c r="B76" s="4" t="inlineStr">
        <is>
          <t>TN-1067-紫S</t>
        </is>
      </c>
      <c r="C76" s="4" t="inlineStr">
        <is>
          <t>TN-1067</t>
        </is>
      </c>
      <c r="D76" s="5" t="inlineStr">
        <is>
          <t>扭捏niunie原创设计复古叠搭彩色格子紫色羊羔毛马甲休闲百搭上衣</t>
        </is>
      </c>
      <c r="E76" s="5" t="inlineStr">
        <is>
          <t>紫色羊羔毛马甲</t>
        </is>
      </c>
      <c r="F76" s="4" t="inlineStr">
        <is>
          <t>S</t>
        </is>
      </c>
      <c r="G76" s="6" t="n">
        <v>469</v>
      </c>
      <c r="H76" s="4" t="n">
        <v>26</v>
      </c>
      <c r="I76" s="7" t="inlineStr">
        <is>
          <t>https://img.alicdn.com/bao/uploaded/i4/2217590670593/O1CN01rjhVF31GFdyKzBcj6_!!2217590670593.jpg</t>
        </is>
      </c>
      <c r="J76" s="7" t="inlineStr">
        <is>
          <t>http://item.taobao.com/item.htm?id=978773628130</t>
        </is>
      </c>
    </row>
    <row r="77" ht="17" customHeight="1">
      <c r="A77" s="8" t="n">
        <v>74</v>
      </c>
      <c r="B77" s="8" t="inlineStr">
        <is>
          <t>NN2534-L</t>
        </is>
      </c>
      <c r="C77" s="8" t="inlineStr">
        <is>
          <t>NN2534</t>
        </is>
      </c>
      <c r="D77" s="9" t="inlineStr">
        <is>
          <t>扭捏niunie 文艺复古棕色系格子大口袋半身裙中腰显瘦全棉中长裙</t>
        </is>
      </c>
      <c r="E77" s="9" t="inlineStr">
        <is>
          <t>棕色系拼色格子半裙</t>
        </is>
      </c>
      <c r="F77" s="8" t="inlineStr">
        <is>
          <t>L</t>
        </is>
      </c>
      <c r="G77" s="10" t="n">
        <v>369</v>
      </c>
      <c r="H77" s="8" t="n">
        <v>3</v>
      </c>
      <c r="I77" s="11" t="inlineStr">
        <is>
          <t>https://img.alicdn.com/bao/uploaded/i3/2217590670593/O1CN012vmpOo1GFdwwmyweb_!!2217590670593.jpg</t>
        </is>
      </c>
      <c r="J77" s="11" t="inlineStr">
        <is>
          <t>http://item.taobao.com/item.htm?id=965720620121</t>
        </is>
      </c>
    </row>
    <row r="78" ht="17" customHeight="1">
      <c r="A78" s="4" t="n">
        <v>75</v>
      </c>
      <c r="B78" s="4" t="inlineStr">
        <is>
          <t>NN2533-L</t>
        </is>
      </c>
      <c r="C78" s="4" t="inlineStr">
        <is>
          <t>NN2533</t>
        </is>
      </c>
      <c r="D78" s="5" t="inlineStr">
        <is>
          <t>【秋天的童话】原创巴恩风剪花小格子重工半身裙复古中长裙女秋款</t>
        </is>
      </c>
      <c r="E78" s="5" t="inlineStr">
        <is>
          <t>彩色剪花小格子半身裙</t>
        </is>
      </c>
      <c r="F78" s="4" t="inlineStr">
        <is>
          <t>L</t>
        </is>
      </c>
      <c r="G78" s="6" t="n">
        <v>429</v>
      </c>
      <c r="H78" s="4" t="n">
        <v>15</v>
      </c>
      <c r="I78" s="7" t="inlineStr">
        <is>
          <t>https://img.alicdn.com/bao/uploaded/i4/2217590670593/O1CN01g52yMQ1GFdx0brzbm_!!2217590670593.jpg</t>
        </is>
      </c>
      <c r="J78" s="7" t="inlineStr">
        <is>
          <t>http://item.taobao.com/item.htm?id=965709300675</t>
        </is>
      </c>
    </row>
    <row r="79" ht="17" customHeight="1">
      <c r="A79" s="8" t="n">
        <v>76</v>
      </c>
      <c r="B79" s="8" t="inlineStr"/>
      <c r="C79" s="8" t="inlineStr">
        <is>
          <t>NN2530</t>
        </is>
      </c>
      <c r="D79" s="9" t="inlineStr">
        <is>
          <t>扭捏niunie 小浣熊松鼠趣味提花蓝色长袖衬衫宽松全棉纽扣上衣女</t>
        </is>
      </c>
      <c r="E79" s="9" t="inlineStr">
        <is>
          <t>定制面料 需要等待</t>
        </is>
      </c>
      <c r="F79" s="8" t="inlineStr">
        <is>
          <t>M</t>
        </is>
      </c>
      <c r="G79" s="10" t="n">
        <v>339</v>
      </c>
      <c r="H79" s="8" t="n">
        <v>4</v>
      </c>
      <c r="I79" s="11" t="inlineStr">
        <is>
          <t>https://img.alicdn.com/bao/uploaded/i3/2217590670593/O1CN01RZwv0i1GFdxBBivtA_!!2217590670593.jpg</t>
        </is>
      </c>
      <c r="J79" s="11" t="inlineStr">
        <is>
          <t>http://item.taobao.com/item.htm?id=963888151342</t>
        </is>
      </c>
    </row>
    <row r="80" ht="17" customHeight="1">
      <c r="A80" s="4" t="n">
        <v>77</v>
      </c>
      <c r="B80" s="4" t="inlineStr"/>
      <c r="C80" s="4" t="inlineStr">
        <is>
          <t>NN2530</t>
        </is>
      </c>
      <c r="D80" s="5" t="inlineStr">
        <is>
          <t>扭捏niunie 小浣熊松鼠趣味提花蓝色长袖衬衫宽松全棉纽扣上衣女</t>
        </is>
      </c>
      <c r="E80" s="5" t="inlineStr">
        <is>
          <t>定制面料 需要等待</t>
        </is>
      </c>
      <c r="F80" s="4" t="inlineStr">
        <is>
          <t>S</t>
        </is>
      </c>
      <c r="G80" s="6" t="n">
        <v>339</v>
      </c>
      <c r="H80" s="4" t="n">
        <v>8</v>
      </c>
      <c r="I80" s="7" t="inlineStr">
        <is>
          <t>https://img.alicdn.com/bao/uploaded/i3/2217590670593/O1CN01RZwv0i1GFdxBBivtA_!!2217590670593.jpg</t>
        </is>
      </c>
      <c r="J80" s="7" t="inlineStr">
        <is>
          <t>http://item.taobao.com/item.htm?id=963888151342</t>
        </is>
      </c>
    </row>
    <row r="81" ht="17" customHeight="1">
      <c r="A81" s="8" t="n">
        <v>78</v>
      </c>
      <c r="B81" s="8" t="inlineStr"/>
      <c r="C81" s="8" t="inlineStr">
        <is>
          <t>NN2536</t>
        </is>
      </c>
      <c r="D81" s="9" t="inlineStr">
        <is>
          <t>扭捏niunie 多巴胺提花蓝色慵懒风休闲长裤宽松显瘦百搭直筒裤女</t>
        </is>
      </c>
      <c r="E81" s="9" t="inlineStr">
        <is>
          <t>定制面料 需要等待</t>
        </is>
      </c>
      <c r="F81" s="8" t="inlineStr">
        <is>
          <t>M</t>
        </is>
      </c>
      <c r="G81" s="10" t="n">
        <v>319</v>
      </c>
      <c r="H81" s="8" t="n">
        <v>1</v>
      </c>
      <c r="I81" s="11" t="inlineStr">
        <is>
          <t>https://img.alicdn.com/bao/uploaded/i3/2217590670593/O1CN01RZwv0i1GFdxBBivtA_!!2217590670593.jpg</t>
        </is>
      </c>
      <c r="J81" s="11" t="inlineStr">
        <is>
          <t>http://item.taobao.com/item.htm?id=965734072577</t>
        </is>
      </c>
    </row>
    <row r="82" ht="17" customHeight="1">
      <c r="A82" s="4" t="n">
        <v>79</v>
      </c>
      <c r="B82" s="4" t="inlineStr"/>
      <c r="C82" s="4" t="inlineStr">
        <is>
          <t>NN2536</t>
        </is>
      </c>
      <c r="D82" s="5" t="inlineStr">
        <is>
          <t>扭捏niunie 多巴胺提花蓝色慵懒风休闲长裤宽松显瘦百搭直筒裤女</t>
        </is>
      </c>
      <c r="E82" s="5" t="inlineStr">
        <is>
          <t>定制面料 需要等待</t>
        </is>
      </c>
      <c r="F82" s="4" t="inlineStr">
        <is>
          <t>S</t>
        </is>
      </c>
      <c r="G82" s="6" t="n">
        <v>319</v>
      </c>
      <c r="H82" s="12" t="n">
        <v>0</v>
      </c>
      <c r="I82" s="7" t="inlineStr">
        <is>
          <t>https://img.alicdn.com/bao/uploaded/i3/2217590670593/O1CN01RZwv0i1GFdxBBivtA_!!2217590670593.jpg</t>
        </is>
      </c>
      <c r="J82" s="7" t="inlineStr">
        <is>
          <t>http://item.taobao.com/item.htm?id=965734072577</t>
        </is>
      </c>
    </row>
    <row r="83" ht="17" customHeight="1">
      <c r="A83" s="8" t="n">
        <v>80</v>
      </c>
      <c r="B83" s="8" t="inlineStr">
        <is>
          <t>TNW-0702-褐L</t>
        </is>
      </c>
      <c r="C83" s="8" t="inlineStr">
        <is>
          <t>TNW-0702</t>
        </is>
      </c>
      <c r="D83" s="9" t="inlineStr">
        <is>
          <t>扭捏niunie 乐谱印花复古长袖T恤进口美利奴羊毛天丝修身内搭上衣</t>
        </is>
      </c>
      <c r="E83" s="9" t="inlineStr">
        <is>
          <t>茶褐色天丝羊毛长袖t</t>
        </is>
      </c>
      <c r="F83" s="8" t="inlineStr">
        <is>
          <t>L</t>
        </is>
      </c>
      <c r="G83" s="10" t="n">
        <v>299</v>
      </c>
      <c r="H83" s="8" t="n">
        <v>2</v>
      </c>
      <c r="I83" s="11" t="inlineStr">
        <is>
          <t>https://img.alicdn.com/bao/uploaded/i4/2217590670593/O1CN01yjUReo1GFdx1hYVgl_!!2217590670593.jpg</t>
        </is>
      </c>
      <c r="J83" s="11" t="inlineStr">
        <is>
          <t>http://item.taobao.com/item.htm?id=965685763792</t>
        </is>
      </c>
    </row>
    <row r="84" ht="17" customHeight="1">
      <c r="A84" s="4" t="n">
        <v>81</v>
      </c>
      <c r="B84" s="4" t="inlineStr">
        <is>
          <t>TNW-0702-绿L</t>
        </is>
      </c>
      <c r="C84" s="4" t="inlineStr">
        <is>
          <t>TNW-0702</t>
        </is>
      </c>
      <c r="D84" s="5" t="inlineStr">
        <is>
          <t>扭捏niunie 乐谱印花复古长袖T恤进口美利奴羊毛天丝修身内搭上衣</t>
        </is>
      </c>
      <c r="E84" s="5" t="inlineStr">
        <is>
          <t>草绿色天丝羊毛长袖t</t>
        </is>
      </c>
      <c r="F84" s="4" t="inlineStr">
        <is>
          <t>L</t>
        </is>
      </c>
      <c r="G84" s="6" t="n">
        <v>299</v>
      </c>
      <c r="H84" s="4" t="n">
        <v>5</v>
      </c>
      <c r="I84" s="7" t="inlineStr">
        <is>
          <t>https://img.alicdn.com/bao/uploaded/i1/2217590670593/O1CN019qHJlo1GFdx12brW4_!!2217590670593.jpg</t>
        </is>
      </c>
      <c r="J84" s="7" t="inlineStr">
        <is>
          <t>http://item.taobao.com/item.htm?id=965685763792</t>
        </is>
      </c>
    </row>
    <row r="85" ht="17" customHeight="1">
      <c r="A85" s="8" t="n">
        <v>82</v>
      </c>
      <c r="B85" s="8" t="inlineStr">
        <is>
          <t>TNW-0702-褐M</t>
        </is>
      </c>
      <c r="C85" s="8" t="inlineStr">
        <is>
          <t>TNW-0702</t>
        </is>
      </c>
      <c r="D85" s="9" t="inlineStr">
        <is>
          <t>扭捏niunie 乐谱印花复古长袖T恤进口美利奴羊毛天丝修身内搭上衣</t>
        </is>
      </c>
      <c r="E85" s="9" t="inlineStr">
        <is>
          <t>茶褐色天丝羊毛长袖t</t>
        </is>
      </c>
      <c r="F85" s="8" t="inlineStr">
        <is>
          <t>M</t>
        </is>
      </c>
      <c r="G85" s="10" t="n">
        <v>299</v>
      </c>
      <c r="H85" s="8" t="n">
        <v>3</v>
      </c>
      <c r="I85" s="11" t="inlineStr">
        <is>
          <t>https://img.alicdn.com/bao/uploaded/i4/2217590670593/O1CN01yjUReo1GFdx1hYVgl_!!2217590670593.jpg</t>
        </is>
      </c>
      <c r="J85" s="11" t="inlineStr">
        <is>
          <t>http://item.taobao.com/item.htm?id=965685763792</t>
        </is>
      </c>
    </row>
    <row r="86" ht="17" customHeight="1">
      <c r="A86" s="4" t="n">
        <v>83</v>
      </c>
      <c r="B86" s="4" t="inlineStr">
        <is>
          <t>TNW-0702-绿M</t>
        </is>
      </c>
      <c r="C86" s="4" t="inlineStr">
        <is>
          <t>TNW-0702</t>
        </is>
      </c>
      <c r="D86" s="5" t="inlineStr">
        <is>
          <t>扭捏niunie 乐谱印花复古长袖T恤进口美利奴羊毛天丝修身内搭上衣</t>
        </is>
      </c>
      <c r="E86" s="5" t="inlineStr">
        <is>
          <t>草绿色天丝羊毛长袖t</t>
        </is>
      </c>
      <c r="F86" s="4" t="inlineStr">
        <is>
          <t>M</t>
        </is>
      </c>
      <c r="G86" s="6" t="n">
        <v>299</v>
      </c>
      <c r="H86" s="4" t="n">
        <v>7</v>
      </c>
      <c r="I86" s="7" t="inlineStr">
        <is>
          <t>https://img.alicdn.com/bao/uploaded/i1/2217590670593/O1CN019qHJlo1GFdx12brW4_!!2217590670593.jpg</t>
        </is>
      </c>
      <c r="J86" s="7" t="inlineStr">
        <is>
          <t>http://item.taobao.com/item.htm?id=965685763792</t>
        </is>
      </c>
    </row>
    <row r="87" ht="17" customHeight="1">
      <c r="A87" s="8" t="n">
        <v>84</v>
      </c>
      <c r="B87" s="8" t="inlineStr">
        <is>
          <t>TNW-0702-褐S</t>
        </is>
      </c>
      <c r="C87" s="8" t="inlineStr">
        <is>
          <t>TNW-0702</t>
        </is>
      </c>
      <c r="D87" s="9" t="inlineStr">
        <is>
          <t>扭捏niunie 乐谱印花复古长袖T恤进口美利奴羊毛天丝修身内搭上衣</t>
        </is>
      </c>
      <c r="E87" s="9" t="inlineStr">
        <is>
          <t>茶褐色天丝羊毛长袖t</t>
        </is>
      </c>
      <c r="F87" s="8" t="inlineStr">
        <is>
          <t>S</t>
        </is>
      </c>
      <c r="G87" s="10" t="n">
        <v>299</v>
      </c>
      <c r="H87" s="8" t="n">
        <v>3</v>
      </c>
      <c r="I87" s="11" t="inlineStr">
        <is>
          <t>https://img.alicdn.com/bao/uploaded/i4/2217590670593/O1CN01yjUReo1GFdx1hYVgl_!!2217590670593.jpg</t>
        </is>
      </c>
      <c r="J87" s="11" t="inlineStr">
        <is>
          <t>http://item.taobao.com/item.htm?id=965685763792</t>
        </is>
      </c>
    </row>
    <row r="88" ht="17" customHeight="1">
      <c r="A88" s="4" t="n">
        <v>85</v>
      </c>
      <c r="B88" s="4" t="inlineStr">
        <is>
          <t>TNW-0702-绿S</t>
        </is>
      </c>
      <c r="C88" s="4" t="inlineStr">
        <is>
          <t>TNW-0702</t>
        </is>
      </c>
      <c r="D88" s="5" t="inlineStr">
        <is>
          <t>扭捏niunie 乐谱印花复古长袖T恤进口美利奴羊毛天丝修身内搭上衣</t>
        </is>
      </c>
      <c r="E88" s="5" t="inlineStr">
        <is>
          <t>草绿色天丝羊毛长袖t</t>
        </is>
      </c>
      <c r="F88" s="4" t="inlineStr">
        <is>
          <t>S</t>
        </is>
      </c>
      <c r="G88" s="6" t="n">
        <v>299</v>
      </c>
      <c r="H88" s="4" t="n">
        <v>10</v>
      </c>
      <c r="I88" s="7" t="inlineStr">
        <is>
          <t>https://img.alicdn.com/bao/uploaded/i1/2217590670593/O1CN019qHJlo1GFdx12brW4_!!2217590670593.jpg</t>
        </is>
      </c>
      <c r="J88" s="7" t="inlineStr">
        <is>
          <t>http://item.taobao.com/item.htm?id=965685763792</t>
        </is>
      </c>
    </row>
    <row r="89" ht="17" customHeight="1">
      <c r="A89" s="8" t="n">
        <v>86</v>
      </c>
      <c r="B89" s="8" t="inlineStr">
        <is>
          <t>TNW-0915-M</t>
        </is>
      </c>
      <c r="C89" s="8" t="inlineStr">
        <is>
          <t>TNW-0802</t>
        </is>
      </c>
      <c r="D89" s="9" t="inlineStr">
        <is>
          <t>扭捏niunie法式复古撞色拼接衬衫澳洲进口美利奴羊毛缩绒工艺上衣</t>
        </is>
      </c>
      <c r="E89" s="9" t="inlineStr">
        <is>
          <t>浅绿色花苞裙</t>
        </is>
      </c>
      <c r="F89" s="8" t="inlineStr">
        <is>
          <t>M</t>
        </is>
      </c>
      <c r="G89" s="10" t="n">
        <v>499</v>
      </c>
      <c r="H89" s="8" t="n">
        <v>3</v>
      </c>
      <c r="I89" s="11" t="inlineStr">
        <is>
          <t>https://img.alicdn.com/bao/uploaded/i1/2217590670593/O1CN01wihPxS1GFdwvCQXKy_!!2217590670593.jpg</t>
        </is>
      </c>
      <c r="J89" s="11" t="inlineStr">
        <is>
          <t>http://item.taobao.com/item.htm?id=965686756371</t>
        </is>
      </c>
    </row>
    <row r="90" ht="17" customHeight="1">
      <c r="A90" s="4" t="n">
        <v>87</v>
      </c>
      <c r="B90" s="4" t="inlineStr">
        <is>
          <t>TNW-0915-S</t>
        </is>
      </c>
      <c r="C90" s="4" t="inlineStr">
        <is>
          <t>TNW-0802</t>
        </is>
      </c>
      <c r="D90" s="5" t="inlineStr">
        <is>
          <t>扭捏niunie法式复古撞色拼接衬衫澳洲进口美利奴羊毛缩绒工艺上衣</t>
        </is>
      </c>
      <c r="E90" s="5" t="inlineStr">
        <is>
          <t>浅绿色花苞裙</t>
        </is>
      </c>
      <c r="F90" s="4" t="inlineStr">
        <is>
          <t>S</t>
        </is>
      </c>
      <c r="G90" s="6" t="n">
        <v>499</v>
      </c>
      <c r="H90" s="4" t="n">
        <v>3</v>
      </c>
      <c r="I90" s="7" t="inlineStr">
        <is>
          <t>https://img.alicdn.com/bao/uploaded/i1/2217590670593/O1CN01wihPxS1GFdwvCQXKy_!!2217590670593.jpg</t>
        </is>
      </c>
      <c r="J90" s="7" t="inlineStr">
        <is>
          <t>http://item.taobao.com/item.htm?id=965686756371</t>
        </is>
      </c>
    </row>
    <row r="91" ht="17" customHeight="1">
      <c r="A91" s="8" t="n">
        <v>88</v>
      </c>
      <c r="B91" s="8" t="inlineStr">
        <is>
          <t>TNW-1010-M</t>
        </is>
      </c>
      <c r="C91" s="8" t="inlineStr">
        <is>
          <t>TNW-1010</t>
        </is>
      </c>
      <c r="D91" s="9" t="inlineStr">
        <is>
          <t>扭捏niunie 复古vintage格子碎花拼接半身裙修身显瘦田园风中长裙</t>
        </is>
      </c>
      <c r="E91" s="9" t="inlineStr">
        <is>
          <t>格子碎花拼接半裙</t>
        </is>
      </c>
      <c r="F91" s="8" t="inlineStr">
        <is>
          <t>M</t>
        </is>
      </c>
      <c r="G91" s="10" t="n">
        <v>439</v>
      </c>
      <c r="H91" s="8" t="n">
        <v>4</v>
      </c>
      <c r="I91" s="11" t="inlineStr">
        <is>
          <t>https://img.alicdn.com/bao/uploaded/i4/2217590670593/O1CN01eVMZOI1GFdsWomFSu_!!2217590670593.jpg</t>
        </is>
      </c>
      <c r="J91" s="11" t="inlineStr">
        <is>
          <t>http://item.taobao.com/item.htm?id=965910959682</t>
        </is>
      </c>
    </row>
    <row r="92" ht="17" customHeight="1">
      <c r="A92" s="4" t="n">
        <v>89</v>
      </c>
      <c r="B92" s="4" t="inlineStr">
        <is>
          <t>TNW-1010-S</t>
        </is>
      </c>
      <c r="C92" s="4" t="inlineStr">
        <is>
          <t>TNW-1010</t>
        </is>
      </c>
      <c r="D92" s="5" t="inlineStr">
        <is>
          <t>扭捏niunie 复古vintage格子碎花拼接半身裙修身显瘦田园风中长裙</t>
        </is>
      </c>
      <c r="E92" s="5" t="inlineStr">
        <is>
          <t>格子碎花拼接半裙</t>
        </is>
      </c>
      <c r="F92" s="4" t="inlineStr">
        <is>
          <t>S</t>
        </is>
      </c>
      <c r="G92" s="6" t="n">
        <v>439</v>
      </c>
      <c r="H92" s="4" t="n">
        <v>6</v>
      </c>
      <c r="I92" s="7" t="inlineStr">
        <is>
          <t>https://img.alicdn.com/bao/uploaded/i4/2217590670593/O1CN01eVMZOI1GFdsWomFSu_!!2217590670593.jpg</t>
        </is>
      </c>
      <c r="J92" s="7" t="inlineStr">
        <is>
          <t>http://item.taobao.com/item.htm?id=965910959682</t>
        </is>
      </c>
    </row>
    <row r="93" ht="17" customHeight="1">
      <c r="A93" s="8" t="n">
        <v>90</v>
      </c>
      <c r="B93" s="8" t="inlineStr">
        <is>
          <t>TNW-0918-M</t>
        </is>
      </c>
      <c r="C93" s="8" t="inlineStr">
        <is>
          <t>TNW-0918</t>
        </is>
      </c>
      <c r="D93" s="9" t="inlineStr">
        <is>
          <t>【我只想睡觉】原创印花圆领毛巾卫衣复古宽松上衣 扭捏niunie</t>
        </is>
      </c>
      <c r="E93" s="9" t="inlineStr">
        <is>
          <t>撞色圆领卫衣</t>
        </is>
      </c>
      <c r="F93" s="8" t="inlineStr">
        <is>
          <t>M</t>
        </is>
      </c>
      <c r="G93" s="10" t="n">
        <v>299</v>
      </c>
      <c r="H93" s="8" t="n">
        <v>7</v>
      </c>
      <c r="I93" s="11" t="inlineStr">
        <is>
          <t>https://img.alicdn.com/bao/uploaded/i2/2217590670593/O1CN01uKNQeD1GFdwzZUDc8_!!2217590670593.jpg</t>
        </is>
      </c>
      <c r="J93" s="11" t="inlineStr">
        <is>
          <t>http://item.taobao.com/item.htm?id=965673059752</t>
        </is>
      </c>
    </row>
    <row r="94" ht="17" customHeight="1">
      <c r="A94" s="4" t="n">
        <v>91</v>
      </c>
      <c r="B94" s="4" t="inlineStr">
        <is>
          <t>TNW-0918-S</t>
        </is>
      </c>
      <c r="C94" s="4" t="inlineStr">
        <is>
          <t>TNW-0918</t>
        </is>
      </c>
      <c r="D94" s="5" t="inlineStr">
        <is>
          <t>【我只想睡觉】原创印花圆领毛巾卫衣复古宽松上衣 扭捏niunie</t>
        </is>
      </c>
      <c r="E94" s="5" t="inlineStr">
        <is>
          <t>撞色圆领卫衣</t>
        </is>
      </c>
      <c r="F94" s="4" t="inlineStr">
        <is>
          <t>S</t>
        </is>
      </c>
      <c r="G94" s="6" t="n">
        <v>299</v>
      </c>
      <c r="H94" s="4" t="n">
        <v>11</v>
      </c>
      <c r="I94" s="7" t="inlineStr">
        <is>
          <t>https://img.alicdn.com/bao/uploaded/i2/2217590670593/O1CN01uKNQeD1GFdwzZUDc8_!!2217590670593.jpg</t>
        </is>
      </c>
      <c r="J94" s="7" t="inlineStr">
        <is>
          <t>http://item.taobao.com/item.htm?id=965673059752</t>
        </is>
      </c>
    </row>
    <row r="95" ht="17" customHeight="1">
      <c r="A95" s="8" t="n">
        <v>92</v>
      </c>
      <c r="B95" s="8" t="inlineStr">
        <is>
          <t>NN2536-M</t>
        </is>
      </c>
      <c r="C95" s="8" t="inlineStr">
        <is>
          <t>NN2536</t>
        </is>
      </c>
      <c r="D95" s="9" t="inlineStr">
        <is>
          <t>扭捏niunie 多巴胺提花蓝色慵懒风休闲长裤宽松显瘦百搭直筒裤女</t>
        </is>
      </c>
      <c r="E95" s="9" t="inlineStr">
        <is>
          <t>蓝色提花宽松长裤</t>
        </is>
      </c>
      <c r="F95" s="8" t="inlineStr">
        <is>
          <t>M</t>
        </is>
      </c>
      <c r="G95" s="10" t="n">
        <v>319</v>
      </c>
      <c r="H95" s="8" t="n">
        <v>2</v>
      </c>
      <c r="I95" s="11" t="inlineStr">
        <is>
          <t>https://img.alicdn.com/bao/uploaded/i3/2217590670593/O1CN01RQaGbH1GFdwvGSLnf_!!2217590670593.jpg</t>
        </is>
      </c>
      <c r="J95" s="11" t="inlineStr">
        <is>
          <t>http://item.taobao.com/item.htm?id=965734072577</t>
        </is>
      </c>
    </row>
    <row r="96" ht="17" customHeight="1">
      <c r="A96" s="4" t="n">
        <v>93</v>
      </c>
      <c r="B96" s="4" t="inlineStr">
        <is>
          <t>NN2536-S</t>
        </is>
      </c>
      <c r="C96" s="4" t="inlineStr">
        <is>
          <t>NN2536</t>
        </is>
      </c>
      <c r="D96" s="5" t="inlineStr">
        <is>
          <t>扭捏niunie 多巴胺提花蓝色慵懒风休闲长裤宽松显瘦百搭直筒裤女</t>
        </is>
      </c>
      <c r="E96" s="5" t="inlineStr">
        <is>
          <t>蓝色提花宽松长裤</t>
        </is>
      </c>
      <c r="F96" s="4" t="inlineStr">
        <is>
          <t>S</t>
        </is>
      </c>
      <c r="G96" s="6" t="n">
        <v>319</v>
      </c>
      <c r="H96" s="12" t="n">
        <v>0</v>
      </c>
      <c r="I96" s="7" t="inlineStr">
        <is>
          <t>https://img.alicdn.com/bao/uploaded/i3/2217590670593/O1CN01RQaGbH1GFdwvGSLnf_!!2217590670593.jpg</t>
        </is>
      </c>
      <c r="J96" s="7" t="inlineStr">
        <is>
          <t>http://item.taobao.com/item.htm?id=965734072577</t>
        </is>
      </c>
    </row>
    <row r="97" ht="17" customHeight="1">
      <c r="A97" s="8" t="n">
        <v>94</v>
      </c>
      <c r="B97" s="8" t="inlineStr">
        <is>
          <t>NN2535-M</t>
        </is>
      </c>
      <c r="C97" s="8" t="inlineStr">
        <is>
          <t>NN2535</t>
        </is>
      </c>
      <c r="D97" s="9" t="inlineStr">
        <is>
          <t>扭捏niunie复古双层荷叶边绿色皱褶设计长袖衬衫收腰显瘦系带上衣</t>
        </is>
      </c>
      <c r="E97" s="9" t="inlineStr">
        <is>
          <t>双层荷叶边绿色衬衫</t>
        </is>
      </c>
      <c r="F97" s="8" t="inlineStr">
        <is>
          <t>M</t>
        </is>
      </c>
      <c r="G97" s="10" t="n">
        <v>339</v>
      </c>
      <c r="H97" s="8" t="n">
        <v>10</v>
      </c>
      <c r="I97" s="11" t="inlineStr">
        <is>
          <t>https://img.alicdn.com/bao/uploaded/i1/2217590670593/O1CN01qbhRsy1GFdx02nM70_!!2217590670593.jpg</t>
        </is>
      </c>
      <c r="J97" s="11" t="inlineStr">
        <is>
          <t>http://item.taobao.com/item.htm?id=965113521854</t>
        </is>
      </c>
    </row>
    <row r="98" ht="17" customHeight="1">
      <c r="A98" s="4" t="n">
        <v>95</v>
      </c>
      <c r="B98" s="4" t="inlineStr">
        <is>
          <t>NN2535-S</t>
        </is>
      </c>
      <c r="C98" s="4" t="inlineStr">
        <is>
          <t>NN2535</t>
        </is>
      </c>
      <c r="D98" s="5" t="inlineStr">
        <is>
          <t>扭捏niunie复古双层荷叶边绿色皱褶设计长袖衬衫收腰显瘦系带上衣</t>
        </is>
      </c>
      <c r="E98" s="5" t="inlineStr">
        <is>
          <t>双层荷叶边绿色衬衫</t>
        </is>
      </c>
      <c r="F98" s="4" t="inlineStr">
        <is>
          <t>S</t>
        </is>
      </c>
      <c r="G98" s="6" t="n">
        <v>339</v>
      </c>
      <c r="H98" s="4" t="n">
        <v>2</v>
      </c>
      <c r="I98" s="7" t="inlineStr">
        <is>
          <t>https://img.alicdn.com/bao/uploaded/i1/2217590670593/O1CN01qbhRsy1GFdx02nM70_!!2217590670593.jpg</t>
        </is>
      </c>
      <c r="J98" s="7" t="inlineStr">
        <is>
          <t>http://item.taobao.com/item.htm?id=965113521854</t>
        </is>
      </c>
    </row>
    <row r="99" ht="17" customHeight="1">
      <c r="A99" s="8" t="n">
        <v>96</v>
      </c>
      <c r="B99" s="8" t="inlineStr">
        <is>
          <t>NN2534-M</t>
        </is>
      </c>
      <c r="C99" s="8" t="inlineStr">
        <is>
          <t>NN2534</t>
        </is>
      </c>
      <c r="D99" s="9" t="inlineStr">
        <is>
          <t>扭捏niunie 文艺复古棕色系格子大口袋半身裙中腰显瘦全棉中长裙</t>
        </is>
      </c>
      <c r="E99" s="9" t="inlineStr">
        <is>
          <t>棕色系拼色格子半裙</t>
        </is>
      </c>
      <c r="F99" s="8" t="inlineStr">
        <is>
          <t>M</t>
        </is>
      </c>
      <c r="G99" s="10" t="n">
        <v>369</v>
      </c>
      <c r="H99" s="8" t="n">
        <v>1</v>
      </c>
      <c r="I99" s="11" t="inlineStr">
        <is>
          <t>https://img.alicdn.com/bao/uploaded/i3/2217590670593/O1CN012vmpOo1GFdwwmyweb_!!2217590670593.jpg</t>
        </is>
      </c>
      <c r="J99" s="11" t="inlineStr">
        <is>
          <t>http://item.taobao.com/item.htm?id=965720620121</t>
        </is>
      </c>
    </row>
    <row r="100" ht="17" customHeight="1">
      <c r="A100" s="4" t="n">
        <v>97</v>
      </c>
      <c r="B100" s="4" t="inlineStr">
        <is>
          <t>NN2534-S</t>
        </is>
      </c>
      <c r="C100" s="4" t="inlineStr">
        <is>
          <t>NN2534</t>
        </is>
      </c>
      <c r="D100" s="5" t="inlineStr">
        <is>
          <t>扭捏niunie 文艺复古棕色系格子大口袋半身裙中腰显瘦全棉中长裙</t>
        </is>
      </c>
      <c r="E100" s="5" t="inlineStr">
        <is>
          <t>棕色系拼色格子半裙</t>
        </is>
      </c>
      <c r="F100" s="4" t="inlineStr">
        <is>
          <t>S</t>
        </is>
      </c>
      <c r="G100" s="6" t="n">
        <v>369</v>
      </c>
      <c r="H100" s="4" t="n">
        <v>8</v>
      </c>
      <c r="I100" s="7" t="inlineStr">
        <is>
          <t>https://img.alicdn.com/bao/uploaded/i3/2217590670593/O1CN012vmpOo1GFdwwmyweb_!!2217590670593.jpg</t>
        </is>
      </c>
      <c r="J100" s="7" t="inlineStr">
        <is>
          <t>http://item.taobao.com/item.htm?id=965720620121</t>
        </is>
      </c>
    </row>
    <row r="101" ht="17" customHeight="1">
      <c r="A101" s="8" t="n">
        <v>98</v>
      </c>
      <c r="B101" s="8" t="inlineStr">
        <is>
          <t>NN2533-M</t>
        </is>
      </c>
      <c r="C101" s="8" t="inlineStr">
        <is>
          <t>NN2533</t>
        </is>
      </c>
      <c r="D101" s="9" t="inlineStr">
        <is>
          <t>【秋天的童话】原创巴恩风剪花小格子重工半身裙复古中长裙女秋款</t>
        </is>
      </c>
      <c r="E101" s="9" t="inlineStr">
        <is>
          <t>彩色剪花小格子半身裙</t>
        </is>
      </c>
      <c r="F101" s="8" t="inlineStr">
        <is>
          <t>M</t>
        </is>
      </c>
      <c r="G101" s="10" t="n">
        <v>429</v>
      </c>
      <c r="H101" s="8" t="n">
        <v>25</v>
      </c>
      <c r="I101" s="11" t="inlineStr">
        <is>
          <t>https://img.alicdn.com/bao/uploaded/i4/2217590670593/O1CN01g52yMQ1GFdx0brzbm_!!2217590670593.jpg</t>
        </is>
      </c>
      <c r="J101" s="11" t="inlineStr">
        <is>
          <t>http://item.taobao.com/item.htm?id=965709300675</t>
        </is>
      </c>
    </row>
    <row r="102" ht="17" customHeight="1">
      <c r="A102" s="4" t="n">
        <v>99</v>
      </c>
      <c r="B102" s="4" t="inlineStr">
        <is>
          <t>NN2533-S</t>
        </is>
      </c>
      <c r="C102" s="4" t="inlineStr">
        <is>
          <t>NN2533</t>
        </is>
      </c>
      <c r="D102" s="5" t="inlineStr">
        <is>
          <t>【秋天的童话】原创巴恩风剪花小格子重工半身裙复古中长裙女秋款</t>
        </is>
      </c>
      <c r="E102" s="5" t="inlineStr">
        <is>
          <t>彩色剪花小格子半身裙</t>
        </is>
      </c>
      <c r="F102" s="4" t="inlineStr">
        <is>
          <t>S</t>
        </is>
      </c>
      <c r="G102" s="6" t="n">
        <v>429</v>
      </c>
      <c r="H102" s="4" t="n">
        <v>23</v>
      </c>
      <c r="I102" s="7" t="inlineStr">
        <is>
          <t>https://img.alicdn.com/bao/uploaded/i4/2217590670593/O1CN01g52yMQ1GFdx0brzbm_!!2217590670593.jpg</t>
        </is>
      </c>
      <c r="J102" s="7" t="inlineStr">
        <is>
          <t>http://item.taobao.com/item.htm?id=965709300675</t>
        </is>
      </c>
    </row>
    <row r="103" ht="17" customHeight="1">
      <c r="A103" s="8" t="n">
        <v>100</v>
      </c>
      <c r="B103" s="8" t="inlineStr">
        <is>
          <t>TNW-0802-M</t>
        </is>
      </c>
      <c r="C103" s="8" t="inlineStr">
        <is>
          <t>TNW-0802</t>
        </is>
      </c>
      <c r="D103" s="9" t="inlineStr">
        <is>
          <t>扭捏niunie法式复古撞色拼接衬衫澳洲进口美利奴羊毛缩绒工艺上衣</t>
        </is>
      </c>
      <c r="E103" s="9" t="inlineStr">
        <is>
          <t>进口羊毛缩绒衬衫</t>
        </is>
      </c>
      <c r="F103" s="8" t="inlineStr">
        <is>
          <t>M</t>
        </is>
      </c>
      <c r="G103" s="10" t="n">
        <v>529</v>
      </c>
      <c r="H103" s="8" t="n">
        <v>3</v>
      </c>
      <c r="I103" s="11" t="inlineStr">
        <is>
          <t>https://img.alicdn.com/bao/uploaded/i1/2217590670593/O1CN01wihPxS1GFdwvCQXKy_!!2217590670593.jpg</t>
        </is>
      </c>
      <c r="J103" s="11" t="inlineStr">
        <is>
          <t>http://item.taobao.com/item.htm?id=965686756371</t>
        </is>
      </c>
    </row>
    <row r="104" ht="17" customHeight="1">
      <c r="A104" s="4" t="n">
        <v>101</v>
      </c>
      <c r="B104" s="4" t="inlineStr">
        <is>
          <t>TNW-0802-S</t>
        </is>
      </c>
      <c r="C104" s="4" t="inlineStr">
        <is>
          <t>TNW-0802</t>
        </is>
      </c>
      <c r="D104" s="5" t="inlineStr">
        <is>
          <t>扭捏niunie法式复古撞色拼接衬衫澳洲进口美利奴羊毛缩绒工艺上衣</t>
        </is>
      </c>
      <c r="E104" s="5" t="inlineStr">
        <is>
          <t>进口羊毛缩绒衬衫</t>
        </is>
      </c>
      <c r="F104" s="4" t="inlineStr">
        <is>
          <t>S</t>
        </is>
      </c>
      <c r="G104" s="6" t="n">
        <v>529</v>
      </c>
      <c r="H104" s="4" t="n">
        <v>7</v>
      </c>
      <c r="I104" s="7" t="inlineStr">
        <is>
          <t>https://img.alicdn.com/bao/uploaded/i1/2217590670593/O1CN01wihPxS1GFdwvCQXKy_!!2217590670593.jpg</t>
        </is>
      </c>
      <c r="J104" s="7" t="inlineStr">
        <is>
          <t>http://item.taobao.com/item.htm?id=965686756371</t>
        </is>
      </c>
    </row>
    <row r="105" ht="17" customHeight="1">
      <c r="A105" s="8" t="n">
        <v>102</v>
      </c>
      <c r="B105" s="8" t="inlineStr">
        <is>
          <t>NN2530-M</t>
        </is>
      </c>
      <c r="C105" s="8" t="inlineStr">
        <is>
          <t>NN2530</t>
        </is>
      </c>
      <c r="D105" s="9" t="inlineStr">
        <is>
          <t>扭捏niunie 小浣熊松鼠趣味提花蓝色长袖衬衫宽松全棉纽扣上衣女</t>
        </is>
      </c>
      <c r="E105" s="9" t="inlineStr">
        <is>
          <t>小浣熊提花蓝色衬衫</t>
        </is>
      </c>
      <c r="F105" s="8" t="inlineStr">
        <is>
          <t>M</t>
        </is>
      </c>
      <c r="G105" s="10" t="n">
        <v>339</v>
      </c>
      <c r="H105" s="8" t="n">
        <v>2</v>
      </c>
      <c r="I105" s="11" t="inlineStr">
        <is>
          <t>https://img.alicdn.com/bao/uploaded/i3/2217590670593/O1CN01pppdkt1GFdww67oSS_!!2217590670593.jpg</t>
        </is>
      </c>
      <c r="J105" s="11" t="inlineStr">
        <is>
          <t>http://item.taobao.com/item.htm?id=963888151342</t>
        </is>
      </c>
    </row>
    <row r="106" ht="17" customHeight="1">
      <c r="A106" s="4" t="n">
        <v>103</v>
      </c>
      <c r="B106" s="4" t="inlineStr">
        <is>
          <t>NN2530-S</t>
        </is>
      </c>
      <c r="C106" s="4" t="inlineStr">
        <is>
          <t>NN2530</t>
        </is>
      </c>
      <c r="D106" s="5" t="inlineStr">
        <is>
          <t>扭捏niunie 小浣熊松鼠趣味提花蓝色长袖衬衫宽松全棉纽扣上衣女</t>
        </is>
      </c>
      <c r="E106" s="5" t="inlineStr">
        <is>
          <t>小浣熊提花蓝色衬衫</t>
        </is>
      </c>
      <c r="F106" s="4" t="inlineStr">
        <is>
          <t>S</t>
        </is>
      </c>
      <c r="G106" s="6" t="n">
        <v>339</v>
      </c>
      <c r="H106" s="4" t="n">
        <v>7</v>
      </c>
      <c r="I106" s="7" t="inlineStr">
        <is>
          <t>https://img.alicdn.com/bao/uploaded/i3/2217590670593/O1CN01pppdkt1GFdww67oSS_!!2217590670593.jpg</t>
        </is>
      </c>
      <c r="J106" s="7" t="inlineStr">
        <is>
          <t>http://item.taobao.com/item.htm?id=963888151342</t>
        </is>
      </c>
    </row>
    <row r="107" ht="17" customHeight="1">
      <c r="A107" s="8" t="n">
        <v>104</v>
      </c>
      <c r="B107" s="8" t="inlineStr">
        <is>
          <t>NN2538-M</t>
        </is>
      </c>
      <c r="C107" s="8" t="inlineStr">
        <is>
          <t>NN2537-2538</t>
        </is>
      </c>
      <c r="D107" s="9" t="inlineStr">
        <is>
          <t>扭捏niunie 复古休闲翻领牛仔外套格子拼接A字半裙全棉高级感套装</t>
        </is>
      </c>
      <c r="E107" s="9" t="inlineStr">
        <is>
          <t>牛仔拼接格子半裙</t>
        </is>
      </c>
      <c r="F107" s="8" t="inlineStr">
        <is>
          <t>M</t>
        </is>
      </c>
      <c r="G107" s="10" t="n">
        <v>399</v>
      </c>
      <c r="H107" s="8" t="n">
        <v>37</v>
      </c>
      <c r="I107" s="11" t="inlineStr">
        <is>
          <t>https://img.alicdn.com/bao/uploaded/i2/2217590670593/O1CN01qfv5mh1GFdwwcgMbc_!!2217590670593.jpg</t>
        </is>
      </c>
      <c r="J107" s="11" t="inlineStr">
        <is>
          <t>http://item.taobao.com/item.htm?id=965053737716</t>
        </is>
      </c>
    </row>
    <row r="108" ht="17" customHeight="1">
      <c r="A108" s="4" t="n">
        <v>105</v>
      </c>
      <c r="B108" s="4" t="inlineStr">
        <is>
          <t>NN2538-S</t>
        </is>
      </c>
      <c r="C108" s="4" t="inlineStr">
        <is>
          <t>NN2537-2538</t>
        </is>
      </c>
      <c r="D108" s="5" t="inlineStr">
        <is>
          <t>扭捏niunie 复古休闲翻领牛仔外套格子拼接A字半裙全棉高级感套装</t>
        </is>
      </c>
      <c r="E108" s="5" t="inlineStr">
        <is>
          <t>牛仔拼接格子半裙</t>
        </is>
      </c>
      <c r="F108" s="4" t="inlineStr">
        <is>
          <t>S</t>
        </is>
      </c>
      <c r="G108" s="6" t="n">
        <v>399</v>
      </c>
      <c r="H108" s="4" t="n">
        <v>48</v>
      </c>
      <c r="I108" s="7" t="inlineStr">
        <is>
          <t>https://img.alicdn.com/bao/uploaded/i2/2217590670593/O1CN01qfv5mh1GFdwwcgMbc_!!2217590670593.jpg</t>
        </is>
      </c>
      <c r="J108" s="7" t="inlineStr">
        <is>
          <t>http://item.taobao.com/item.htm?id=965053737716</t>
        </is>
      </c>
    </row>
    <row r="109" ht="17" customHeight="1">
      <c r="A109" s="8" t="n">
        <v>106</v>
      </c>
      <c r="B109" s="8" t="inlineStr">
        <is>
          <t>NN2537-M</t>
        </is>
      </c>
      <c r="C109" s="8" t="inlineStr">
        <is>
          <t>NN2537-2538</t>
        </is>
      </c>
      <c r="D109" s="9" t="inlineStr">
        <is>
          <t>扭捏niunie 复古休闲翻领牛仔外套格子拼接A字半裙全棉高级感套装</t>
        </is>
      </c>
      <c r="E109" s="9" t="inlineStr">
        <is>
          <t>牛仔外套</t>
        </is>
      </c>
      <c r="F109" s="8" t="inlineStr">
        <is>
          <t>M</t>
        </is>
      </c>
      <c r="G109" s="10" t="n">
        <v>369</v>
      </c>
      <c r="H109" s="12" t="n">
        <v>0</v>
      </c>
      <c r="I109" s="11" t="inlineStr">
        <is>
          <t>https://img.alicdn.com/bao/uploaded/i1/2217590670593/O1CN01BnonAW1GFdwvincOo_!!2217590670593.jpg</t>
        </is>
      </c>
      <c r="J109" s="11" t="inlineStr">
        <is>
          <t>http://item.taobao.com/item.htm?id=965053737716</t>
        </is>
      </c>
    </row>
    <row r="110" ht="17" customHeight="1">
      <c r="A110" s="4" t="n">
        <v>107</v>
      </c>
      <c r="B110" s="4" t="inlineStr">
        <is>
          <t>NN2537-S</t>
        </is>
      </c>
      <c r="C110" s="4" t="inlineStr">
        <is>
          <t>NN2537-2538</t>
        </is>
      </c>
      <c r="D110" s="5" t="inlineStr">
        <is>
          <t>扭捏niunie 复古休闲翻领牛仔外套格子拼接A字半裙全棉高级感套装</t>
        </is>
      </c>
      <c r="E110" s="5" t="inlineStr">
        <is>
          <t>牛仔外套</t>
        </is>
      </c>
      <c r="F110" s="4" t="inlineStr">
        <is>
          <t>S</t>
        </is>
      </c>
      <c r="G110" s="6" t="n">
        <v>369</v>
      </c>
      <c r="H110" s="12" t="n">
        <v>0</v>
      </c>
      <c r="I110" s="7" t="inlineStr">
        <is>
          <t>https://img.alicdn.com/bao/uploaded/i1/2217590670593/O1CN01BnonAW1GFdwvincOo_!!2217590670593.jpg</t>
        </is>
      </c>
      <c r="J110" s="7" t="inlineStr">
        <is>
          <t>http://item.taobao.com/item.htm?id=965053737716</t>
        </is>
      </c>
    </row>
    <row r="111" ht="17" customHeight="1">
      <c r="A111" s="8" t="n">
        <v>108</v>
      </c>
      <c r="B111" s="8" t="inlineStr"/>
      <c r="C111" s="8" t="inlineStr">
        <is>
          <t>NN-2515</t>
        </is>
      </c>
      <c r="D111" s="9" t="inlineStr">
        <is>
          <t>扭捏niunie 复古vintage宽松慵懒感上衣 果实扣100%苎麻衬衫夏季</t>
        </is>
      </c>
      <c r="E111" s="9" t="inlineStr">
        <is>
          <t>黄色</t>
        </is>
      </c>
      <c r="F111" s="8" t="inlineStr">
        <is>
          <t>L</t>
        </is>
      </c>
      <c r="G111" s="10" t="n">
        <v>398</v>
      </c>
      <c r="H111" s="8" t="n">
        <v>11</v>
      </c>
      <c r="I111" s="11" t="inlineStr">
        <is>
          <t>https://img.alicdn.com/bao/uploaded/i4/2217590670593/O1CN01Z5hiwq1GFdv2jmgHC_!!2217590670593.jpg</t>
        </is>
      </c>
      <c r="J111" s="11" t="inlineStr">
        <is>
          <t>http://item.taobao.com/item.htm?id=915074198906</t>
        </is>
      </c>
    </row>
    <row r="112" ht="17" customHeight="1">
      <c r="A112" s="4" t="n">
        <v>109</v>
      </c>
      <c r="B112" s="4" t="inlineStr"/>
      <c r="C112" s="4" t="inlineStr">
        <is>
          <t>NN-2515</t>
        </is>
      </c>
      <c r="D112" s="5" t="inlineStr">
        <is>
          <t>扭捏niunie 复古vintage宽松慵懒感上衣 果实扣100%苎麻衬衫夏季</t>
        </is>
      </c>
      <c r="E112" s="5" t="inlineStr">
        <is>
          <t>黄色</t>
        </is>
      </c>
      <c r="F112" s="4" t="inlineStr">
        <is>
          <t>M</t>
        </is>
      </c>
      <c r="G112" s="6" t="n">
        <v>398</v>
      </c>
      <c r="H112" s="4" t="n">
        <v>25</v>
      </c>
      <c r="I112" s="7" t="inlineStr">
        <is>
          <t>https://img.alicdn.com/bao/uploaded/i4/2217590670593/O1CN01Z5hiwq1GFdv2jmgHC_!!2217590670593.jpg</t>
        </is>
      </c>
      <c r="J112" s="7" t="inlineStr">
        <is>
          <t>http://item.taobao.com/item.htm?id=915074198906</t>
        </is>
      </c>
    </row>
    <row r="113" ht="17" customHeight="1">
      <c r="A113" s="8" t="n">
        <v>110</v>
      </c>
      <c r="B113" s="8" t="inlineStr"/>
      <c r="C113" s="8" t="inlineStr">
        <is>
          <t>NN-2515</t>
        </is>
      </c>
      <c r="D113" s="9" t="inlineStr">
        <is>
          <t>扭捏niunie 复古vintage宽松慵懒感上衣 果实扣100%苎麻衬衫夏季</t>
        </is>
      </c>
      <c r="E113" s="9" t="inlineStr">
        <is>
          <t>黄色</t>
        </is>
      </c>
      <c r="F113" s="8" t="inlineStr">
        <is>
          <t>S</t>
        </is>
      </c>
      <c r="G113" s="10" t="n">
        <v>398</v>
      </c>
      <c r="H113" s="8" t="n">
        <v>16</v>
      </c>
      <c r="I113" s="11" t="inlineStr">
        <is>
          <t>https://img.alicdn.com/bao/uploaded/i4/2217590670593/O1CN01Z5hiwq1GFdv2jmgHC_!!2217590670593.jpg</t>
        </is>
      </c>
      <c r="J113" s="11" t="inlineStr">
        <is>
          <t>http://item.taobao.com/item.htm?id=915074198906</t>
        </is>
      </c>
    </row>
    <row r="114" ht="17" customHeight="1">
      <c r="A114" s="4" t="n">
        <v>111</v>
      </c>
      <c r="B114" s="4" t="inlineStr">
        <is>
          <t>NTF0311W-1-L</t>
        </is>
      </c>
      <c r="C114" s="4" t="inlineStr">
        <is>
          <t>NTF-0311</t>
        </is>
      </c>
      <c r="D114" s="5" t="inlineStr">
        <is>
          <t>扭捏 少女的祈祷 花边拼接蛋糕a字小短裙白色半身裙 防走光内衬</t>
        </is>
      </c>
      <c r="E114" s="5" t="inlineStr">
        <is>
          <t>白色拼接短裙 （绗缝位置改版）</t>
        </is>
      </c>
      <c r="F114" s="4" t="inlineStr">
        <is>
          <t>L</t>
        </is>
      </c>
      <c r="G114" s="6" t="n">
        <v>338</v>
      </c>
      <c r="H114" s="4" t="n">
        <v>13</v>
      </c>
      <c r="I114" s="7" t="inlineStr">
        <is>
          <t>https://img.alicdn.com/bao/uploaded/i1/2217590670593/O1CN01ZmqRQD1GFdwea86Gu_!!2217590670593.jpg</t>
        </is>
      </c>
      <c r="J114" s="7" t="inlineStr">
        <is>
          <t>http://item.taobao.com/item.htm?id=805155843613</t>
        </is>
      </c>
    </row>
    <row r="115" ht="17" customHeight="1">
      <c r="A115" s="8" t="n">
        <v>112</v>
      </c>
      <c r="B115" s="8" t="inlineStr">
        <is>
          <t>NTF0311W-1-M</t>
        </is>
      </c>
      <c r="C115" s="8" t="inlineStr">
        <is>
          <t>NTF-0311</t>
        </is>
      </c>
      <c r="D115" s="9" t="inlineStr">
        <is>
          <t>扭捏 少女的祈祷 花边拼接蛋糕a字小短裙白色半身裙 防走光内衬</t>
        </is>
      </c>
      <c r="E115" s="9" t="inlineStr">
        <is>
          <t>白色拼接短裙 （绗缝位置改版）</t>
        </is>
      </c>
      <c r="F115" s="8" t="inlineStr">
        <is>
          <t>M</t>
        </is>
      </c>
      <c r="G115" s="10" t="n">
        <v>338</v>
      </c>
      <c r="H115" s="8" t="n">
        <v>17</v>
      </c>
      <c r="I115" s="11" t="inlineStr">
        <is>
          <t>https://img.alicdn.com/bao/uploaded/i1/2217590670593/O1CN01ZmqRQD1GFdwea86Gu_!!2217590670593.jpg</t>
        </is>
      </c>
      <c r="J115" s="11" t="inlineStr">
        <is>
          <t>http://item.taobao.com/item.htm?id=805155843613</t>
        </is>
      </c>
    </row>
    <row r="116" ht="17" customHeight="1">
      <c r="A116" s="4" t="n">
        <v>113</v>
      </c>
      <c r="B116" s="4" t="inlineStr">
        <is>
          <t>NTF0311W-1-S</t>
        </is>
      </c>
      <c r="C116" s="4" t="inlineStr">
        <is>
          <t>NTF-0311</t>
        </is>
      </c>
      <c r="D116" s="5" t="inlineStr">
        <is>
          <t>扭捏 少女的祈祷 花边拼接蛋糕a字小短裙白色半身裙 防走光内衬</t>
        </is>
      </c>
      <c r="E116" s="5" t="inlineStr">
        <is>
          <t>白色拼接短裙 （绗缝位置改版）</t>
        </is>
      </c>
      <c r="F116" s="4" t="inlineStr">
        <is>
          <t>S</t>
        </is>
      </c>
      <c r="G116" s="6" t="n">
        <v>338</v>
      </c>
      <c r="H116" s="4" t="n">
        <v>13</v>
      </c>
      <c r="I116" s="7" t="inlineStr">
        <is>
          <t>https://img.alicdn.com/bao/uploaded/i1/2217590670593/O1CN01ZmqRQD1GFdwea86Gu_!!2217590670593.jpg</t>
        </is>
      </c>
      <c r="J116" s="7" t="inlineStr">
        <is>
          <t>http://item.taobao.com/item.htm?id=805155843613</t>
        </is>
      </c>
    </row>
    <row r="117" ht="17" customHeight="1">
      <c r="A117" s="8" t="n">
        <v>114</v>
      </c>
      <c r="B117" s="8" t="inlineStr">
        <is>
          <t>NTF0307B-L</t>
        </is>
      </c>
      <c r="C117" s="8" t="inlineStr">
        <is>
          <t>NTF0307</t>
        </is>
      </c>
      <c r="D117" s="9" t="inlineStr">
        <is>
          <t>扭捏niunie 玫瑰小猫可爱印花 弹力花边圆领正肩白色短袖T恤女夏</t>
        </is>
      </c>
      <c r="E117" s="9" t="inlineStr">
        <is>
          <t>玫瑰印花白色T恤</t>
        </is>
      </c>
      <c r="F117" s="8" t="inlineStr">
        <is>
          <t>L</t>
        </is>
      </c>
      <c r="G117" s="10" t="n">
        <v>198</v>
      </c>
      <c r="H117" s="12" t="n">
        <v>0</v>
      </c>
      <c r="I117" s="11" t="inlineStr">
        <is>
          <t>https://img.alicdn.com/bao/uploaded/i4/2217590670593/O1CN01Luzo9Q1GFdvJKTxCd_!!2217590670593.jpg</t>
        </is>
      </c>
      <c r="J117" s="11" t="inlineStr">
        <is>
          <t>http://item.taobao.com/item.htm?id=924779585209</t>
        </is>
      </c>
    </row>
    <row r="118" ht="17" customHeight="1">
      <c r="A118" s="4" t="n">
        <v>115</v>
      </c>
      <c r="B118" s="4" t="inlineStr">
        <is>
          <t>NTF0307B-M</t>
        </is>
      </c>
      <c r="C118" s="4" t="inlineStr">
        <is>
          <t>NTF0307</t>
        </is>
      </c>
      <c r="D118" s="5" t="inlineStr">
        <is>
          <t>扭捏niunie 玫瑰小猫可爱印花 弹力花边圆领正肩白色短袖T恤女夏</t>
        </is>
      </c>
      <c r="E118" s="5" t="inlineStr">
        <is>
          <t>玫瑰印花白色T恤</t>
        </is>
      </c>
      <c r="F118" s="4" t="inlineStr">
        <is>
          <t>M</t>
        </is>
      </c>
      <c r="G118" s="6" t="n">
        <v>198</v>
      </c>
      <c r="H118" s="4" t="n">
        <v>6</v>
      </c>
      <c r="I118" s="7" t="inlineStr">
        <is>
          <t>https://img.alicdn.com/bao/uploaded/i4/2217590670593/O1CN01Luzo9Q1GFdvJKTxCd_!!2217590670593.jpg</t>
        </is>
      </c>
      <c r="J118" s="7" t="inlineStr">
        <is>
          <t>http://item.taobao.com/item.htm?id=924779585209</t>
        </is>
      </c>
    </row>
    <row r="119" ht="17" customHeight="1">
      <c r="A119" s="8" t="n">
        <v>116</v>
      </c>
      <c r="B119" s="8" t="inlineStr">
        <is>
          <t>NTF0307B-S</t>
        </is>
      </c>
      <c r="C119" s="8" t="inlineStr">
        <is>
          <t>NTF0307</t>
        </is>
      </c>
      <c r="D119" s="9" t="inlineStr">
        <is>
          <t>扭捏niunie 玫瑰小猫可爱印花 弹力花边圆领正肩白色短袖T恤女夏</t>
        </is>
      </c>
      <c r="E119" s="9" t="inlineStr">
        <is>
          <t>玫瑰印花白色T恤</t>
        </is>
      </c>
      <c r="F119" s="8" t="inlineStr">
        <is>
          <t>S</t>
        </is>
      </c>
      <c r="G119" s="10" t="n">
        <v>198</v>
      </c>
      <c r="H119" s="8" t="n">
        <v>3</v>
      </c>
      <c r="I119" s="11" t="inlineStr">
        <is>
          <t>https://img.alicdn.com/bao/uploaded/i4/2217590670593/O1CN01Luzo9Q1GFdvJKTxCd_!!2217590670593.jpg</t>
        </is>
      </c>
      <c r="J119" s="11" t="inlineStr">
        <is>
          <t>http://item.taobao.com/item.htm?id=924779585209</t>
        </is>
      </c>
    </row>
    <row r="120" ht="17" customHeight="1">
      <c r="A120" s="4" t="n">
        <v>117</v>
      </c>
      <c r="B120" s="4" t="inlineStr">
        <is>
          <t>NTF0307C-L</t>
        </is>
      </c>
      <c r="C120" s="4" t="inlineStr">
        <is>
          <t>NTF0307</t>
        </is>
      </c>
      <c r="D120" s="5" t="inlineStr">
        <is>
          <t>扭捏niunie 玫瑰小猫可爱印花 弹力花边圆领正肩白色短袖T恤女夏</t>
        </is>
      </c>
      <c r="E120" s="5" t="inlineStr">
        <is>
          <t>小猫印花白色T恤</t>
        </is>
      </c>
      <c r="F120" s="4" t="inlineStr">
        <is>
          <t>L</t>
        </is>
      </c>
      <c r="G120" s="6" t="n">
        <v>198</v>
      </c>
      <c r="H120" s="4" t="n">
        <v>10</v>
      </c>
      <c r="I120" s="7" t="inlineStr">
        <is>
          <t>https://img.alicdn.com/bao/uploaded/i3/2217590670593/O1CN01pjwUET1GFdvIbTXoT_!!2217590670593.jpg</t>
        </is>
      </c>
      <c r="J120" s="7" t="inlineStr">
        <is>
          <t>http://item.taobao.com/item.htm?id=924779585209</t>
        </is>
      </c>
    </row>
    <row r="121" ht="17" customHeight="1">
      <c r="A121" s="8" t="n">
        <v>118</v>
      </c>
      <c r="B121" s="8" t="inlineStr">
        <is>
          <t>NTF0307C-M</t>
        </is>
      </c>
      <c r="C121" s="8" t="inlineStr">
        <is>
          <t>NTF0307</t>
        </is>
      </c>
      <c r="D121" s="9" t="inlineStr">
        <is>
          <t>扭捏niunie 玫瑰小猫可爱印花 弹力花边圆领正肩白色短袖T恤女夏</t>
        </is>
      </c>
      <c r="E121" s="9" t="inlineStr">
        <is>
          <t>小猫印花白色T恤</t>
        </is>
      </c>
      <c r="F121" s="8" t="inlineStr">
        <is>
          <t>M</t>
        </is>
      </c>
      <c r="G121" s="10" t="n">
        <v>198</v>
      </c>
      <c r="H121" s="8" t="n">
        <v>3</v>
      </c>
      <c r="I121" s="11" t="inlineStr">
        <is>
          <t>https://img.alicdn.com/bao/uploaded/i3/2217590670593/O1CN01pjwUET1GFdvIbTXoT_!!2217590670593.jpg</t>
        </is>
      </c>
      <c r="J121" s="11" t="inlineStr">
        <is>
          <t>http://item.taobao.com/item.htm?id=924779585209</t>
        </is>
      </c>
    </row>
    <row r="122" ht="17" customHeight="1">
      <c r="A122" s="4" t="n">
        <v>119</v>
      </c>
      <c r="B122" s="4" t="inlineStr">
        <is>
          <t>NTF0307C-S</t>
        </is>
      </c>
      <c r="C122" s="4" t="inlineStr">
        <is>
          <t>NTF0307</t>
        </is>
      </c>
      <c r="D122" s="5" t="inlineStr">
        <is>
          <t>扭捏niunie 玫瑰小猫可爱印花 弹力花边圆领正肩白色短袖T恤女夏</t>
        </is>
      </c>
      <c r="E122" s="5" t="inlineStr">
        <is>
          <t>小猫印花白色T恤</t>
        </is>
      </c>
      <c r="F122" s="4" t="inlineStr">
        <is>
          <t>S</t>
        </is>
      </c>
      <c r="G122" s="6" t="n">
        <v>198</v>
      </c>
      <c r="H122" s="4" t="n">
        <v>7</v>
      </c>
      <c r="I122" s="7" t="inlineStr">
        <is>
          <t>https://img.alicdn.com/bao/uploaded/i3/2217590670593/O1CN01pjwUET1GFdvIbTXoT_!!2217590670593.jpg</t>
        </is>
      </c>
      <c r="J122" s="7" t="inlineStr">
        <is>
          <t>http://item.taobao.com/item.htm?id=924779585209</t>
        </is>
      </c>
    </row>
    <row r="123" ht="17" customHeight="1">
      <c r="A123" s="8" t="n">
        <v>120</v>
      </c>
      <c r="B123" s="8" t="inlineStr">
        <is>
          <t>NTF-0322-L</t>
        </is>
      </c>
      <c r="C123" s="8" t="inlineStr">
        <is>
          <t>NTF-0322</t>
        </is>
      </c>
      <c r="D123" s="9" t="inlineStr">
        <is>
          <t>扭捏niunie 原创醋酸缎感 法式浪漫气质印花荡领吊带连衣裙短款夏</t>
        </is>
      </c>
      <c r="E123" s="9" t="inlineStr">
        <is>
          <t>荡领吊带印花连衣裙</t>
        </is>
      </c>
      <c r="F123" s="8" t="inlineStr">
        <is>
          <t>L</t>
        </is>
      </c>
      <c r="G123" s="10" t="n">
        <v>588</v>
      </c>
      <c r="H123" s="8" t="n">
        <v>15</v>
      </c>
      <c r="I123" s="11" t="inlineStr">
        <is>
          <t>https://img.alicdn.com/bao/uploaded/i1/2217590670593/O1CN01XOHQx81GFdvFKfO81_!!2217590670593.jpg</t>
        </is>
      </c>
      <c r="J123" s="11" t="inlineStr">
        <is>
          <t>http://item.taobao.com/item.htm?id=924703237804</t>
        </is>
      </c>
    </row>
    <row r="124" ht="17" customHeight="1">
      <c r="A124" s="4" t="n">
        <v>121</v>
      </c>
      <c r="B124" s="4" t="inlineStr">
        <is>
          <t>NTF-0322-M</t>
        </is>
      </c>
      <c r="C124" s="4" t="inlineStr">
        <is>
          <t>NTF-0322</t>
        </is>
      </c>
      <c r="D124" s="5" t="inlineStr">
        <is>
          <t>扭捏niunie 原创醋酸缎感 法式浪漫气质印花荡领吊带连衣裙短款夏</t>
        </is>
      </c>
      <c r="E124" s="5" t="inlineStr">
        <is>
          <t>荡领吊带印花连衣裙</t>
        </is>
      </c>
      <c r="F124" s="4" t="inlineStr">
        <is>
          <t>M</t>
        </is>
      </c>
      <c r="G124" s="6" t="n">
        <v>588</v>
      </c>
      <c r="H124" s="4" t="n">
        <v>15</v>
      </c>
      <c r="I124" s="7" t="inlineStr">
        <is>
          <t>https://img.alicdn.com/bao/uploaded/i1/2217590670593/O1CN01XOHQx81GFdvFKfO81_!!2217590670593.jpg</t>
        </is>
      </c>
      <c r="J124" s="7" t="inlineStr">
        <is>
          <t>http://item.taobao.com/item.htm?id=924703237804</t>
        </is>
      </c>
    </row>
    <row r="125" ht="17" customHeight="1">
      <c r="A125" s="8" t="n">
        <v>122</v>
      </c>
      <c r="B125" s="8" t="inlineStr">
        <is>
          <t>NTF-0322-S</t>
        </is>
      </c>
      <c r="C125" s="8" t="inlineStr">
        <is>
          <t>NTF-0322</t>
        </is>
      </c>
      <c r="D125" s="9" t="inlineStr">
        <is>
          <t>扭捏niunie 原创醋酸缎感 法式浪漫气质印花荡领吊带连衣裙短款夏</t>
        </is>
      </c>
      <c r="E125" s="9" t="inlineStr">
        <is>
          <t>荡领吊带印花连衣裙</t>
        </is>
      </c>
      <c r="F125" s="8" t="inlineStr">
        <is>
          <t>S</t>
        </is>
      </c>
      <c r="G125" s="10" t="n">
        <v>588</v>
      </c>
      <c r="H125" s="8" t="n">
        <v>14</v>
      </c>
      <c r="I125" s="11" t="inlineStr">
        <is>
          <t>https://img.alicdn.com/bao/uploaded/i1/2217590670593/O1CN01XOHQx81GFdvFKfO81_!!2217590670593.jpg</t>
        </is>
      </c>
      <c r="J125" s="11" t="inlineStr">
        <is>
          <t>http://item.taobao.com/item.htm?id=924703237804</t>
        </is>
      </c>
    </row>
    <row r="126" ht="17" customHeight="1">
      <c r="A126" s="4" t="n">
        <v>123</v>
      </c>
      <c r="B126" s="4" t="inlineStr">
        <is>
          <t>NN-2505-L</t>
        </is>
      </c>
      <c r="C126" s="4" t="inlineStr">
        <is>
          <t>NN-2505</t>
        </is>
      </c>
      <c r="D126" s="5" t="inlineStr">
        <is>
          <t>扭捏niunie 彩线格子蓝色纱边 自然日系艺术感宽松棉麻中长半身裙</t>
        </is>
      </c>
      <c r="E126" s="5" t="inlineStr">
        <is>
          <t>彩线格子半身裙</t>
        </is>
      </c>
      <c r="F126" s="4" t="inlineStr">
        <is>
          <t>L</t>
        </is>
      </c>
      <c r="G126" s="6" t="n">
        <v>528</v>
      </c>
      <c r="H126" s="4" t="n">
        <v>15</v>
      </c>
      <c r="I126" s="7" t="inlineStr">
        <is>
          <t>https://img.alicdn.com/bao/uploaded/i1/2217590670593/O1CN01SUUgBd1GFdvIJuDc8_!!2217590670593.jpg</t>
        </is>
      </c>
      <c r="J126" s="7" t="inlineStr">
        <is>
          <t>http://item.taobao.com/item.htm?id=923781374333</t>
        </is>
      </c>
    </row>
    <row r="127" ht="17" customHeight="1">
      <c r="A127" s="8" t="n">
        <v>124</v>
      </c>
      <c r="B127" s="8" t="inlineStr">
        <is>
          <t>NN-2505-M</t>
        </is>
      </c>
      <c r="C127" s="8" t="inlineStr">
        <is>
          <t>NN-2505</t>
        </is>
      </c>
      <c r="D127" s="9" t="inlineStr">
        <is>
          <t>扭捏niunie 彩线格子蓝色纱边 自然日系艺术感宽松棉麻中长半身裙</t>
        </is>
      </c>
      <c r="E127" s="9" t="inlineStr">
        <is>
          <t>彩线格子半身裙</t>
        </is>
      </c>
      <c r="F127" s="8" t="inlineStr">
        <is>
          <t>M</t>
        </is>
      </c>
      <c r="G127" s="10" t="n">
        <v>528</v>
      </c>
      <c r="H127" s="8" t="n">
        <v>15</v>
      </c>
      <c r="I127" s="11" t="inlineStr">
        <is>
          <t>https://img.alicdn.com/bao/uploaded/i1/2217590670593/O1CN01SUUgBd1GFdvIJuDc8_!!2217590670593.jpg</t>
        </is>
      </c>
      <c r="J127" s="11" t="inlineStr">
        <is>
          <t>http://item.taobao.com/item.htm?id=923781374333</t>
        </is>
      </c>
    </row>
    <row r="128" ht="17" customHeight="1">
      <c r="A128" s="4" t="n">
        <v>125</v>
      </c>
      <c r="B128" s="4" t="inlineStr">
        <is>
          <t>NN-2505-S</t>
        </is>
      </c>
      <c r="C128" s="4" t="inlineStr">
        <is>
          <t>NN-2505</t>
        </is>
      </c>
      <c r="D128" s="5" t="inlineStr">
        <is>
          <t>扭捏niunie 彩线格子蓝色纱边 自然日系艺术感宽松棉麻中长半身裙</t>
        </is>
      </c>
      <c r="E128" s="5" t="inlineStr">
        <is>
          <t>彩线格子半身裙</t>
        </is>
      </c>
      <c r="F128" s="4" t="inlineStr">
        <is>
          <t>S</t>
        </is>
      </c>
      <c r="G128" s="6" t="n">
        <v>528</v>
      </c>
      <c r="H128" s="4" t="n">
        <v>15</v>
      </c>
      <c r="I128" s="7" t="inlineStr">
        <is>
          <t>https://img.alicdn.com/bao/uploaded/i1/2217590670593/O1CN01SUUgBd1GFdvIJuDc8_!!2217590670593.jpg</t>
        </is>
      </c>
      <c r="J128" s="7" t="inlineStr">
        <is>
          <t>http://item.taobao.com/item.htm?id=923781374333</t>
        </is>
      </c>
    </row>
    <row r="129" ht="17" customHeight="1">
      <c r="A129" s="8" t="n">
        <v>126</v>
      </c>
      <c r="B129" s="8" t="inlineStr">
        <is>
          <t>NN-2508-L</t>
        </is>
      </c>
      <c r="C129" s="8" t="inlineStr">
        <is>
          <t>NN-2508</t>
        </is>
      </c>
      <c r="D129" s="9" t="inlineStr">
        <is>
          <t>扭捏niunie 复古直筒裤 米黄色花朵刺绣宽松百搭休闲长裤春夏</t>
        </is>
      </c>
      <c r="E129" s="9" t="inlineStr">
        <is>
          <t>米黄色刺绣长裤</t>
        </is>
      </c>
      <c r="F129" s="8" t="inlineStr">
        <is>
          <t>L</t>
        </is>
      </c>
      <c r="G129" s="10" t="n">
        <v>388</v>
      </c>
      <c r="H129" s="12" t="n">
        <v>0</v>
      </c>
      <c r="I129" s="11" t="inlineStr">
        <is>
          <t>https://img.alicdn.com/bao/uploaded/i2/2217590670593/O1CN01D6jZtM1GFdvGTOTj9_!!2217590670593.jpg</t>
        </is>
      </c>
      <c r="J129" s="11" t="inlineStr">
        <is>
          <t>http://item.taobao.com/item.htm?id=923400087199</t>
        </is>
      </c>
    </row>
    <row r="130" ht="17" customHeight="1">
      <c r="A130" s="4" t="n">
        <v>127</v>
      </c>
      <c r="B130" s="4" t="inlineStr">
        <is>
          <t>NN-2508-M</t>
        </is>
      </c>
      <c r="C130" s="4" t="inlineStr">
        <is>
          <t>NN-2508</t>
        </is>
      </c>
      <c r="D130" s="5" t="inlineStr">
        <is>
          <t>扭捏niunie 复古直筒裤 米黄色花朵刺绣宽松百搭休闲长裤春夏</t>
        </is>
      </c>
      <c r="E130" s="5" t="inlineStr">
        <is>
          <t>米黄色刺绣长裤</t>
        </is>
      </c>
      <c r="F130" s="4" t="inlineStr">
        <is>
          <t>S</t>
        </is>
      </c>
      <c r="G130" s="6" t="n">
        <v>388</v>
      </c>
      <c r="H130" s="4" t="n">
        <v>15</v>
      </c>
      <c r="I130" s="7" t="inlineStr">
        <is>
          <t>https://img.alicdn.com/bao/uploaded/i2/2217590670593/O1CN01D6jZtM1GFdvGTOTj9_!!2217590670593.jpg</t>
        </is>
      </c>
      <c r="J130" s="7" t="inlineStr">
        <is>
          <t>http://item.taobao.com/item.htm?id=923400087199</t>
        </is>
      </c>
    </row>
    <row r="131" ht="17" customHeight="1">
      <c r="A131" s="8" t="n">
        <v>128</v>
      </c>
      <c r="B131" s="8" t="inlineStr">
        <is>
          <t>NN-2508-S</t>
        </is>
      </c>
      <c r="C131" s="8" t="inlineStr">
        <is>
          <t>NN-2508</t>
        </is>
      </c>
      <c r="D131" s="9" t="inlineStr">
        <is>
          <t>扭捏niunie 复古直筒裤 米黄色花朵刺绣宽松百搭休闲长裤春夏</t>
        </is>
      </c>
      <c r="E131" s="9" t="inlineStr">
        <is>
          <t>米黄色刺绣长裤</t>
        </is>
      </c>
      <c r="F131" s="8" t="inlineStr">
        <is>
          <t>M</t>
        </is>
      </c>
      <c r="G131" s="10" t="n">
        <v>388</v>
      </c>
      <c r="H131" s="8" t="n">
        <v>14</v>
      </c>
      <c r="I131" s="11" t="inlineStr">
        <is>
          <t>https://img.alicdn.com/bao/uploaded/i2/2217590670593/O1CN01D6jZtM1GFdvGTOTj9_!!2217590670593.jpg</t>
        </is>
      </c>
      <c r="J131" s="11" t="inlineStr">
        <is>
          <t>http://item.taobao.com/item.htm?id=923400087199</t>
        </is>
      </c>
    </row>
    <row r="132" ht="17" customHeight="1">
      <c r="A132" s="4" t="n">
        <v>129</v>
      </c>
      <c r="B132" s="4" t="inlineStr">
        <is>
          <t>NN-2502-M</t>
        </is>
      </c>
      <c r="C132" s="4" t="inlineStr">
        <is>
          <t>NN-2502</t>
        </is>
      </c>
      <c r="D132" s="5" t="inlineStr">
        <is>
          <t>扭捏niunie 复古vintage宽松绑带木耳花边 紫色纯棉格子连衣裙夏</t>
        </is>
      </c>
      <c r="E132" s="5" t="inlineStr">
        <is>
          <t>紫色格子连衣裙</t>
        </is>
      </c>
      <c r="F132" s="4" t="inlineStr">
        <is>
          <t>M</t>
        </is>
      </c>
      <c r="G132" s="6" t="n">
        <v>588</v>
      </c>
      <c r="H132" s="4" t="n">
        <v>20</v>
      </c>
      <c r="I132" s="7" t="inlineStr">
        <is>
          <t>https://img.alicdn.com/bao/uploaded/i2/2217590670593/O1CN01vOjUH81GFdvEnZliX_!!2217590670593.jpg</t>
        </is>
      </c>
      <c r="J132" s="7" t="inlineStr">
        <is>
          <t>http://item.taobao.com/item.htm?id=923769049506</t>
        </is>
      </c>
    </row>
    <row r="133" ht="17" customHeight="1">
      <c r="A133" s="8" t="n">
        <v>130</v>
      </c>
      <c r="B133" s="8" t="inlineStr">
        <is>
          <t>NN-2502-S</t>
        </is>
      </c>
      <c r="C133" s="8" t="inlineStr">
        <is>
          <t>NN-2502</t>
        </is>
      </c>
      <c r="D133" s="9" t="inlineStr">
        <is>
          <t>扭捏niunie 复古vintage宽松绑带木耳花边 紫色纯棉格子连衣裙夏</t>
        </is>
      </c>
      <c r="E133" s="9" t="inlineStr">
        <is>
          <t>紫色格子连衣裙</t>
        </is>
      </c>
      <c r="F133" s="8" t="inlineStr">
        <is>
          <t>S</t>
        </is>
      </c>
      <c r="G133" s="10" t="n">
        <v>588</v>
      </c>
      <c r="H133" s="8" t="n">
        <v>20</v>
      </c>
      <c r="I133" s="11" t="inlineStr">
        <is>
          <t>https://img.alicdn.com/bao/uploaded/i2/2217590670593/O1CN01vOjUH81GFdvEnZliX_!!2217590670593.jpg</t>
        </is>
      </c>
      <c r="J133" s="11" t="inlineStr">
        <is>
          <t>http://item.taobao.com/item.htm?id=923769049506</t>
        </is>
      </c>
    </row>
    <row r="134" ht="17" customHeight="1">
      <c r="A134" s="4" t="n">
        <v>131</v>
      </c>
      <c r="B134" s="4" t="inlineStr">
        <is>
          <t>NN-2509-L</t>
        </is>
      </c>
      <c r="C134" s="4" t="inlineStr">
        <is>
          <t>NN-2509</t>
        </is>
      </c>
      <c r="D134" s="5" t="inlineStr">
        <is>
          <t>扭捏niunie 植物系重工刺绣背后绑带复古苎麻短袖衬衫 原创设计</t>
        </is>
      </c>
      <c r="E134" s="5" t="inlineStr">
        <is>
          <t>植物刺绣背后绑带衬衫</t>
        </is>
      </c>
      <c r="F134" s="4" t="inlineStr">
        <is>
          <t>L</t>
        </is>
      </c>
      <c r="G134" s="6" t="n">
        <v>468</v>
      </c>
      <c r="H134" s="4" t="n">
        <v>17</v>
      </c>
      <c r="I134" s="7" t="inlineStr">
        <is>
          <t>https://img.alicdn.com/bao/uploaded/i2/2217590670593/O1CN01ddArXZ1GFdvH5SIAc_!!2217590670593.jpg</t>
        </is>
      </c>
      <c r="J134" s="7" t="inlineStr">
        <is>
          <t>http://item.taobao.com/item.htm?id=923758741641</t>
        </is>
      </c>
    </row>
    <row r="135" ht="17" customHeight="1">
      <c r="A135" s="8" t="n">
        <v>132</v>
      </c>
      <c r="B135" s="8" t="inlineStr">
        <is>
          <t>NN-2509-M</t>
        </is>
      </c>
      <c r="C135" s="8" t="inlineStr">
        <is>
          <t>NN-2509</t>
        </is>
      </c>
      <c r="D135" s="9" t="inlineStr">
        <is>
          <t>扭捏niunie 植物系重工刺绣背后绑带复古苎麻短袖衬衫 原创设计</t>
        </is>
      </c>
      <c r="E135" s="9" t="inlineStr">
        <is>
          <t>植物刺绣背后绑带衬衫</t>
        </is>
      </c>
      <c r="F135" s="8" t="inlineStr">
        <is>
          <t>M</t>
        </is>
      </c>
      <c r="G135" s="10" t="n">
        <v>468</v>
      </c>
      <c r="H135" s="8" t="n">
        <v>13</v>
      </c>
      <c r="I135" s="11" t="inlineStr">
        <is>
          <t>https://img.alicdn.com/bao/uploaded/i2/2217590670593/O1CN01ddArXZ1GFdvH5SIAc_!!2217590670593.jpg</t>
        </is>
      </c>
      <c r="J135" s="11" t="inlineStr">
        <is>
          <t>http://item.taobao.com/item.htm?id=923758741641</t>
        </is>
      </c>
    </row>
    <row r="136" ht="17" customHeight="1">
      <c r="A136" s="4" t="n">
        <v>133</v>
      </c>
      <c r="B136" s="4" t="inlineStr">
        <is>
          <t>NN-2509-S</t>
        </is>
      </c>
      <c r="C136" s="4" t="inlineStr">
        <is>
          <t>NN-2509</t>
        </is>
      </c>
      <c r="D136" s="5" t="inlineStr">
        <is>
          <t>扭捏niunie 植物系重工刺绣背后绑带复古苎麻短袖衬衫 原创设计</t>
        </is>
      </c>
      <c r="E136" s="5" t="inlineStr">
        <is>
          <t>植物刺绣背后绑带衬衫</t>
        </is>
      </c>
      <c r="F136" s="4" t="inlineStr">
        <is>
          <t>S</t>
        </is>
      </c>
      <c r="G136" s="6" t="n">
        <v>468</v>
      </c>
      <c r="H136" s="4" t="n">
        <v>8</v>
      </c>
      <c r="I136" s="7" t="inlineStr">
        <is>
          <t>https://img.alicdn.com/bao/uploaded/i2/2217590670593/O1CN01ddArXZ1GFdvH5SIAc_!!2217590670593.jpg</t>
        </is>
      </c>
      <c r="J136" s="7" t="inlineStr">
        <is>
          <t>http://item.taobao.com/item.htm?id=923758741641</t>
        </is>
      </c>
    </row>
    <row r="137" ht="17" customHeight="1">
      <c r="A137" s="8" t="n">
        <v>134</v>
      </c>
      <c r="B137" s="8" t="inlineStr">
        <is>
          <t>NN-0905P-M</t>
        </is>
      </c>
      <c r="C137" s="8" t="inlineStr">
        <is>
          <t>NN-0905</t>
        </is>
      </c>
      <c r="D137" s="9" t="inlineStr">
        <is>
          <t>扭捏niunie 绿色紫色苎麻天丝 双层含棉内衬 松紧腰短裤夏季新款</t>
        </is>
      </c>
      <c r="E137" s="9" t="inlineStr">
        <is>
          <t>紫色苎麻天丝短裤</t>
        </is>
      </c>
      <c r="F137" s="8" t="inlineStr">
        <is>
          <t>M</t>
        </is>
      </c>
      <c r="G137" s="10" t="n">
        <v>338</v>
      </c>
      <c r="H137" s="8" t="n">
        <v>12</v>
      </c>
      <c r="I137" s="11" t="inlineStr">
        <is>
          <t>https://img.alicdn.com/bao/uploaded/i2/2217590670593/O1CN01KMf8nT1GFdvGWLEXg_!!2217590670593.jpg</t>
        </is>
      </c>
      <c r="J137" s="11" t="inlineStr">
        <is>
          <t>http://item.taobao.com/item.htm?id=924217720404</t>
        </is>
      </c>
    </row>
    <row r="138" ht="17" customHeight="1">
      <c r="A138" s="4" t="n">
        <v>135</v>
      </c>
      <c r="B138" s="4" t="inlineStr">
        <is>
          <t>NN-0905P-S</t>
        </is>
      </c>
      <c r="C138" s="4" t="inlineStr">
        <is>
          <t>NN-0905</t>
        </is>
      </c>
      <c r="D138" s="5" t="inlineStr">
        <is>
          <t>扭捏niunie 绿色紫色苎麻天丝 双层含棉内衬 松紧腰短裤夏季新款</t>
        </is>
      </c>
      <c r="E138" s="5" t="inlineStr">
        <is>
          <t>紫色苎麻天丝短裤</t>
        </is>
      </c>
      <c r="F138" s="4" t="inlineStr">
        <is>
          <t>S</t>
        </is>
      </c>
      <c r="G138" s="6" t="n">
        <v>338</v>
      </c>
      <c r="H138" s="4" t="n">
        <v>11</v>
      </c>
      <c r="I138" s="7" t="inlineStr">
        <is>
          <t>https://img.alicdn.com/bao/uploaded/i2/2217590670593/O1CN01KMf8nT1GFdvGWLEXg_!!2217590670593.jpg</t>
        </is>
      </c>
      <c r="J138" s="7" t="inlineStr">
        <is>
          <t>http://item.taobao.com/item.htm?id=924217720404</t>
        </is>
      </c>
    </row>
    <row r="139" ht="17" customHeight="1">
      <c r="A139" s="8" t="n">
        <v>136</v>
      </c>
      <c r="B139" s="8" t="inlineStr">
        <is>
          <t>NN-0905G-M</t>
        </is>
      </c>
      <c r="C139" s="8" t="inlineStr">
        <is>
          <t>NN-0905</t>
        </is>
      </c>
      <c r="D139" s="9" t="inlineStr">
        <is>
          <t>扭捏niunie 绿色紫色苎麻天丝 双层含棉内衬 松紧腰短裤夏季新款</t>
        </is>
      </c>
      <c r="E139" s="9" t="inlineStr">
        <is>
          <t>绿色苎麻天丝短裤</t>
        </is>
      </c>
      <c r="F139" s="8" t="inlineStr">
        <is>
          <t>M</t>
        </is>
      </c>
      <c r="G139" s="10" t="n">
        <v>338</v>
      </c>
      <c r="H139" s="8" t="n">
        <v>9</v>
      </c>
      <c r="I139" s="11" t="inlineStr">
        <is>
          <t>https://img.alicdn.com/bao/uploaded/i2/2217590670593/O1CN01Lv8v0A1GFdvGIMw4T_!!2217590670593.jpg</t>
        </is>
      </c>
      <c r="J139" s="11" t="inlineStr">
        <is>
          <t>http://item.taobao.com/item.htm?id=924217720404</t>
        </is>
      </c>
    </row>
    <row r="140" ht="17" customHeight="1">
      <c r="A140" s="4" t="n">
        <v>137</v>
      </c>
      <c r="B140" s="4" t="inlineStr">
        <is>
          <t>NN-0905G-S</t>
        </is>
      </c>
      <c r="C140" s="4" t="inlineStr">
        <is>
          <t>NN-0905</t>
        </is>
      </c>
      <c r="D140" s="5" t="inlineStr">
        <is>
          <t>扭捏niunie 绿色紫色苎麻天丝 双层含棉内衬 松紧腰短裤夏季新款</t>
        </is>
      </c>
      <c r="E140" s="5" t="inlineStr">
        <is>
          <t>绿色苎麻天丝短裤</t>
        </is>
      </c>
      <c r="F140" s="4" t="inlineStr">
        <is>
          <t>S</t>
        </is>
      </c>
      <c r="G140" s="6" t="n">
        <v>338</v>
      </c>
      <c r="H140" s="4" t="n">
        <v>11</v>
      </c>
      <c r="I140" s="7" t="inlineStr">
        <is>
          <t>https://img.alicdn.com/bao/uploaded/i2/2217590670593/O1CN01Lv8v0A1GFdvGIMw4T_!!2217590670593.jpg</t>
        </is>
      </c>
      <c r="J140" s="7" t="inlineStr">
        <is>
          <t>http://item.taobao.com/item.htm?id=924217720404</t>
        </is>
      </c>
    </row>
    <row r="141" ht="17" customHeight="1">
      <c r="A141" s="8" t="n">
        <v>138</v>
      </c>
      <c r="B141" s="8" t="inlineStr">
        <is>
          <t>NN-2516-L</t>
        </is>
      </c>
      <c r="C141" s="8" t="inlineStr">
        <is>
          <t>NN-2516</t>
        </is>
      </c>
      <c r="D141" s="9" t="inlineStr">
        <is>
          <t>扭捏niunie 桑蚕丝真丝棉双层木耳花边领子贝壳扣 轻薄款黑色衬衫</t>
        </is>
      </c>
      <c r="E141" s="9" t="inlineStr">
        <is>
          <t>桑蚕丝棉黑色衬衫</t>
        </is>
      </c>
      <c r="F141" s="8" t="inlineStr">
        <is>
          <t>L</t>
        </is>
      </c>
      <c r="G141" s="10" t="n">
        <v>398</v>
      </c>
      <c r="H141" s="8" t="n">
        <v>6</v>
      </c>
      <c r="I141" s="11" t="inlineStr">
        <is>
          <t>https://img.alicdn.com/bao/uploaded/i1/2217590670593/O1CN01zjcnfh1GFdvH903hA_!!2217590670593.jpg</t>
        </is>
      </c>
      <c r="J141" s="11" t="inlineStr">
        <is>
          <t>http://item.taobao.com/item.htm?id=924206552396</t>
        </is>
      </c>
    </row>
    <row r="142" ht="17" customHeight="1">
      <c r="A142" s="4" t="n">
        <v>139</v>
      </c>
      <c r="B142" s="4" t="inlineStr">
        <is>
          <t>NN-2516-M</t>
        </is>
      </c>
      <c r="C142" s="4" t="inlineStr">
        <is>
          <t>NN-2516</t>
        </is>
      </c>
      <c r="D142" s="5" t="inlineStr">
        <is>
          <t>扭捏niunie 桑蚕丝真丝棉双层木耳花边领子贝壳扣 轻薄款黑色衬衫</t>
        </is>
      </c>
      <c r="E142" s="5" t="inlineStr">
        <is>
          <t>桑蚕丝棉黑色衬衫</t>
        </is>
      </c>
      <c r="F142" s="4" t="inlineStr">
        <is>
          <t>M</t>
        </is>
      </c>
      <c r="G142" s="6" t="n">
        <v>398</v>
      </c>
      <c r="H142" s="4" t="n">
        <v>3</v>
      </c>
      <c r="I142" s="7" t="inlineStr">
        <is>
          <t>https://img.alicdn.com/bao/uploaded/i1/2217590670593/O1CN01zjcnfh1GFdvH903hA_!!2217590670593.jpg</t>
        </is>
      </c>
      <c r="J142" s="7" t="inlineStr">
        <is>
          <t>http://item.taobao.com/item.htm?id=924206552396</t>
        </is>
      </c>
    </row>
    <row r="143" ht="17" customHeight="1">
      <c r="A143" s="8" t="n">
        <v>140</v>
      </c>
      <c r="B143" s="8" t="inlineStr">
        <is>
          <t>NN-2516-S</t>
        </is>
      </c>
      <c r="C143" s="8" t="inlineStr">
        <is>
          <t>NN-2516</t>
        </is>
      </c>
      <c r="D143" s="9" t="inlineStr">
        <is>
          <t>扭捏niunie 桑蚕丝真丝棉双层木耳花边领子贝壳扣 轻薄款黑色衬衫</t>
        </is>
      </c>
      <c r="E143" s="9" t="inlineStr">
        <is>
          <t>桑蚕丝棉黑色衬衫</t>
        </is>
      </c>
      <c r="F143" s="8" t="inlineStr">
        <is>
          <t>S</t>
        </is>
      </c>
      <c r="G143" s="10" t="n">
        <v>398</v>
      </c>
      <c r="H143" s="8" t="n">
        <v>6</v>
      </c>
      <c r="I143" s="11" t="inlineStr">
        <is>
          <t>https://img.alicdn.com/bao/uploaded/i1/2217590670593/O1CN01zjcnfh1GFdvH903hA_!!2217590670593.jpg</t>
        </is>
      </c>
      <c r="J143" s="11" t="inlineStr">
        <is>
          <t>http://item.taobao.com/item.htm?id=924206552396</t>
        </is>
      </c>
    </row>
    <row r="144" ht="17" customHeight="1">
      <c r="A144" s="4" t="n">
        <v>141</v>
      </c>
      <c r="B144" s="4" t="inlineStr">
        <is>
          <t>NN2512L</t>
        </is>
      </c>
      <c r="C144" s="4" t="inlineStr">
        <is>
          <t>NN-2512</t>
        </is>
      </c>
      <c r="D144" s="5" t="inlineStr">
        <is>
          <t>扭捏niunie「只此青绿」印花长款大裙摆设计感宽松慵懒半身裙纱裙</t>
        </is>
      </c>
      <c r="E144" s="5" t="inlineStr">
        <is>
          <t>只此青绿印花半裙</t>
        </is>
      </c>
      <c r="F144" s="4" t="inlineStr">
        <is>
          <t>L</t>
        </is>
      </c>
      <c r="G144" s="6" t="n">
        <v>398</v>
      </c>
      <c r="H144" s="4" t="n">
        <v>6</v>
      </c>
      <c r="I144" s="7" t="inlineStr">
        <is>
          <t>https://img.alicdn.com/bao/uploaded/i3/2217590670593/O1CN01kWTIAF1GFduxLilgD_!!2217590670593.jpg</t>
        </is>
      </c>
      <c r="J144" s="7" t="inlineStr">
        <is>
          <t>http://item.taobao.com/item.htm?id=915599658517</t>
        </is>
      </c>
    </row>
    <row r="145" ht="17" customHeight="1">
      <c r="A145" s="8" t="n">
        <v>142</v>
      </c>
      <c r="B145" s="8" t="inlineStr">
        <is>
          <t>NN2512M</t>
        </is>
      </c>
      <c r="C145" s="8" t="inlineStr">
        <is>
          <t>NN-2512</t>
        </is>
      </c>
      <c r="D145" s="9" t="inlineStr">
        <is>
          <t>扭捏niunie「只此青绿」印花长款大裙摆设计感宽松慵懒半身裙纱裙</t>
        </is>
      </c>
      <c r="E145" s="9" t="inlineStr">
        <is>
          <t>只此青绿印花半裙</t>
        </is>
      </c>
      <c r="F145" s="8" t="inlineStr">
        <is>
          <t>M</t>
        </is>
      </c>
      <c r="G145" s="10" t="n">
        <v>398</v>
      </c>
      <c r="H145" s="8" t="n">
        <v>4</v>
      </c>
      <c r="I145" s="11" t="inlineStr">
        <is>
          <t>https://img.alicdn.com/bao/uploaded/i3/2217590670593/O1CN01kWTIAF1GFduxLilgD_!!2217590670593.jpg</t>
        </is>
      </c>
      <c r="J145" s="11" t="inlineStr">
        <is>
          <t>http://item.taobao.com/item.htm?id=915599658517</t>
        </is>
      </c>
    </row>
    <row r="146" ht="17" customHeight="1">
      <c r="A146" s="4" t="n">
        <v>143</v>
      </c>
      <c r="B146" s="4" t="inlineStr">
        <is>
          <t>NN2512S</t>
        </is>
      </c>
      <c r="C146" s="4" t="inlineStr">
        <is>
          <t>NN-2512</t>
        </is>
      </c>
      <c r="D146" s="5" t="inlineStr">
        <is>
          <t>扭捏niunie「只此青绿」印花长款大裙摆设计感宽松慵懒半身裙纱裙</t>
        </is>
      </c>
      <c r="E146" s="5" t="inlineStr">
        <is>
          <t>只此青绿印花半裙</t>
        </is>
      </c>
      <c r="F146" s="4" t="inlineStr">
        <is>
          <t>S</t>
        </is>
      </c>
      <c r="G146" s="6" t="n">
        <v>398</v>
      </c>
      <c r="H146" s="4" t="n">
        <v>2</v>
      </c>
      <c r="I146" s="7" t="inlineStr">
        <is>
          <t>https://img.alicdn.com/bao/uploaded/i3/2217590670593/O1CN01kWTIAF1GFduxLilgD_!!2217590670593.jpg</t>
        </is>
      </c>
      <c r="J146" s="7" t="inlineStr">
        <is>
          <t>http://item.taobao.com/item.htm?id=915599658517</t>
        </is>
      </c>
    </row>
    <row r="147" ht="17" customHeight="1">
      <c r="A147" s="8" t="n">
        <v>144</v>
      </c>
      <c r="B147" s="8" t="inlineStr">
        <is>
          <t>NN2511L</t>
        </is>
      </c>
      <c r="C147" s="8" t="inlineStr">
        <is>
          <t>NN-2511</t>
        </is>
      </c>
      <c r="D147" s="9" t="inlineStr">
        <is>
          <t>扭捏niunie「掠影」小众设计感风琴褶皱贝壳扣印花衬衫宽松上衣</t>
        </is>
      </c>
      <c r="E147" s="9" t="inlineStr">
        <is>
          <t>风琴褶印花衬衫</t>
        </is>
      </c>
      <c r="F147" s="8" t="inlineStr">
        <is>
          <t>L</t>
        </is>
      </c>
      <c r="G147" s="10" t="n">
        <v>398</v>
      </c>
      <c r="H147" s="8" t="n">
        <v>4</v>
      </c>
      <c r="I147" s="11" t="inlineStr">
        <is>
          <t>https://img.alicdn.com/bao/uploaded/i3/2217590670593/O1CN01iwN4oi1GFduwJEaQd_!!2217590670593.jpg</t>
        </is>
      </c>
      <c r="J147" s="11" t="inlineStr">
        <is>
          <t>http://item.taobao.com/item.htm?id=915145238498</t>
        </is>
      </c>
    </row>
    <row r="148" ht="17" customHeight="1">
      <c r="A148" s="4" t="n">
        <v>145</v>
      </c>
      <c r="B148" s="4" t="inlineStr">
        <is>
          <t>NN2511M</t>
        </is>
      </c>
      <c r="C148" s="4" t="inlineStr">
        <is>
          <t>NN-2511</t>
        </is>
      </c>
      <c r="D148" s="5" t="inlineStr">
        <is>
          <t>扭捏niunie「掠影」小众设计感风琴褶皱贝壳扣印花衬衫宽松上衣</t>
        </is>
      </c>
      <c r="E148" s="5" t="inlineStr">
        <is>
          <t>风琴褶印花衬衫</t>
        </is>
      </c>
      <c r="F148" s="4" t="inlineStr">
        <is>
          <t>M</t>
        </is>
      </c>
      <c r="G148" s="6" t="n">
        <v>398</v>
      </c>
      <c r="H148" s="4" t="n">
        <v>4</v>
      </c>
      <c r="I148" s="7" t="inlineStr">
        <is>
          <t>https://img.alicdn.com/bao/uploaded/i3/2217590670593/O1CN01iwN4oi1GFduwJEaQd_!!2217590670593.jpg</t>
        </is>
      </c>
      <c r="J148" s="7" t="inlineStr">
        <is>
          <t>http://item.taobao.com/item.htm?id=915145238498</t>
        </is>
      </c>
    </row>
    <row r="149" ht="17" customHeight="1">
      <c r="A149" s="8" t="n">
        <v>146</v>
      </c>
      <c r="B149" s="8" t="inlineStr">
        <is>
          <t>NN2511S</t>
        </is>
      </c>
      <c r="C149" s="8" t="inlineStr">
        <is>
          <t>NN-2511</t>
        </is>
      </c>
      <c r="D149" s="9" t="inlineStr">
        <is>
          <t>扭捏niunie「掠影」小众设计感风琴褶皱贝壳扣印花衬衫宽松上衣</t>
        </is>
      </c>
      <c r="E149" s="9" t="inlineStr">
        <is>
          <t>风琴褶印花衬衫</t>
        </is>
      </c>
      <c r="F149" s="8" t="inlineStr">
        <is>
          <t>S</t>
        </is>
      </c>
      <c r="G149" s="10" t="n">
        <v>398</v>
      </c>
      <c r="H149" s="8" t="n">
        <v>3</v>
      </c>
      <c r="I149" s="11" t="inlineStr">
        <is>
          <t>https://img.alicdn.com/bao/uploaded/i3/2217590670593/O1CN01iwN4oi1GFduwJEaQd_!!2217590670593.jpg</t>
        </is>
      </c>
      <c r="J149" s="11" t="inlineStr">
        <is>
          <t>http://item.taobao.com/item.htm?id=915145238498</t>
        </is>
      </c>
    </row>
    <row r="150" ht="17" customHeight="1">
      <c r="A150" s="4" t="n">
        <v>147</v>
      </c>
      <c r="B150" s="4" t="inlineStr">
        <is>
          <t>NN2510L</t>
        </is>
      </c>
      <c r="C150" s="4" t="inlineStr">
        <is>
          <t>NN-2510</t>
        </is>
      </c>
      <c r="D150" s="5" t="inlineStr">
        <is>
          <t>扭捏niunie「海盐柠檬」手缝扣拼接彩色格子半身裙宽松A字裙女</t>
        </is>
      </c>
      <c r="E150" s="5" t="inlineStr">
        <is>
          <t>手缝扣格子半身裙</t>
        </is>
      </c>
      <c r="F150" s="4" t="inlineStr">
        <is>
          <t>L</t>
        </is>
      </c>
      <c r="G150" s="6" t="n">
        <v>568</v>
      </c>
      <c r="H150" s="4" t="n">
        <v>4</v>
      </c>
      <c r="I150" s="7" t="inlineStr">
        <is>
          <t>https://img.alicdn.com/bao/uploaded/i3/2217590670593/O1CN01fTxw9U1GFdv3M4DtH_!!2217590670593.jpg</t>
        </is>
      </c>
      <c r="J150" s="7" t="inlineStr">
        <is>
          <t>http://item.taobao.com/item.htm?id=915063018116</t>
        </is>
      </c>
    </row>
    <row r="151" ht="17" customHeight="1">
      <c r="A151" s="8" t="n">
        <v>148</v>
      </c>
      <c r="B151" s="8" t="inlineStr">
        <is>
          <t>NN2510M</t>
        </is>
      </c>
      <c r="C151" s="8" t="inlineStr">
        <is>
          <t>NN-2510</t>
        </is>
      </c>
      <c r="D151" s="9" t="inlineStr">
        <is>
          <t>扭捏niunie「海盐柠檬」手缝扣拼接彩色格子半身裙宽松A字裙女</t>
        </is>
      </c>
      <c r="E151" s="9" t="inlineStr">
        <is>
          <t>手缝扣格子半身裙</t>
        </is>
      </c>
      <c r="F151" s="8" t="inlineStr">
        <is>
          <t>M</t>
        </is>
      </c>
      <c r="G151" s="10" t="n">
        <v>568</v>
      </c>
      <c r="H151" s="8" t="n">
        <v>1</v>
      </c>
      <c r="I151" s="11" t="inlineStr">
        <is>
          <t>https://img.alicdn.com/bao/uploaded/i3/2217590670593/O1CN01fTxw9U1GFdv3M4DtH_!!2217590670593.jpg</t>
        </is>
      </c>
      <c r="J151" s="11" t="inlineStr">
        <is>
          <t>http://item.taobao.com/item.htm?id=915063018116</t>
        </is>
      </c>
    </row>
    <row r="152" ht="17" customHeight="1">
      <c r="A152" s="4" t="n">
        <v>149</v>
      </c>
      <c r="B152" s="4" t="inlineStr">
        <is>
          <t>NN2510S</t>
        </is>
      </c>
      <c r="C152" s="4" t="inlineStr">
        <is>
          <t>NN-2510</t>
        </is>
      </c>
      <c r="D152" s="5" t="inlineStr">
        <is>
          <t>扭捏niunie「海盐柠檬」手缝扣拼接彩色格子半身裙宽松A字裙女</t>
        </is>
      </c>
      <c r="E152" s="5" t="inlineStr">
        <is>
          <t>手缝扣格子半身裙</t>
        </is>
      </c>
      <c r="F152" s="4" t="inlineStr">
        <is>
          <t>S</t>
        </is>
      </c>
      <c r="G152" s="6" t="n">
        <v>568</v>
      </c>
      <c r="H152" s="12" t="n">
        <v>0</v>
      </c>
      <c r="I152" s="7" t="inlineStr">
        <is>
          <t>https://img.alicdn.com/bao/uploaded/i3/2217590670593/O1CN01fTxw9U1GFdv3M4DtH_!!2217590670593.jpg</t>
        </is>
      </c>
      <c r="J152" s="7" t="inlineStr">
        <is>
          <t>http://item.taobao.com/item.htm?id=915063018116</t>
        </is>
      </c>
    </row>
    <row r="153" ht="17" customHeight="1">
      <c r="A153" s="8" t="n">
        <v>150</v>
      </c>
      <c r="B153" s="8" t="inlineStr">
        <is>
          <t>NN251BL</t>
        </is>
      </c>
      <c r="C153" s="8" t="inlineStr">
        <is>
          <t>NN-251B</t>
        </is>
      </c>
      <c r="D153" s="9" t="inlineStr">
        <is>
          <t>扭捏niunie「夏雪」浅蓝色大摆纱裙灵动百搭半身裙伞裙夏季新款</t>
        </is>
      </c>
      <c r="E153" s="9" t="inlineStr">
        <is>
          <t>浅蓝色雪花纱裙</t>
        </is>
      </c>
      <c r="F153" s="8" t="inlineStr">
        <is>
          <t>L</t>
        </is>
      </c>
      <c r="G153" s="10" t="n">
        <v>498</v>
      </c>
      <c r="H153" s="12" t="n">
        <v>0</v>
      </c>
      <c r="I153" s="11" t="inlineStr">
        <is>
          <t>https://img.alicdn.com/bao/uploaded/i3/2217590670593/O1CN01ikfzTQ1GFdupzS8As_!!2217590670593.jpg</t>
        </is>
      </c>
      <c r="J153" s="11" t="inlineStr">
        <is>
          <t>http://item.taobao.com/item.htm?id=915953464203</t>
        </is>
      </c>
    </row>
    <row r="154" ht="17" customHeight="1">
      <c r="A154" s="4" t="n">
        <v>151</v>
      </c>
      <c r="B154" s="4" t="inlineStr">
        <is>
          <t>NN251BM</t>
        </is>
      </c>
      <c r="C154" s="4" t="inlineStr">
        <is>
          <t>NN-251B</t>
        </is>
      </c>
      <c r="D154" s="5" t="inlineStr">
        <is>
          <t>扭捏niunie「夏雪」浅蓝色大摆纱裙灵动百搭半身裙伞裙夏季新款</t>
        </is>
      </c>
      <c r="E154" s="5" t="inlineStr">
        <is>
          <t>浅蓝色雪花纱裙</t>
        </is>
      </c>
      <c r="F154" s="4" t="inlineStr">
        <is>
          <t>M</t>
        </is>
      </c>
      <c r="G154" s="6" t="n">
        <v>498</v>
      </c>
      <c r="H154" s="12" t="n">
        <v>0</v>
      </c>
      <c r="I154" s="7" t="inlineStr">
        <is>
          <t>https://img.alicdn.com/bao/uploaded/i3/2217590670593/O1CN01ikfzTQ1GFdupzS8As_!!2217590670593.jpg</t>
        </is>
      </c>
      <c r="J154" s="7" t="inlineStr">
        <is>
          <t>http://item.taobao.com/item.htm?id=915953464203</t>
        </is>
      </c>
    </row>
    <row r="155" ht="17" customHeight="1">
      <c r="A155" s="8" t="n">
        <v>152</v>
      </c>
      <c r="B155" s="8" t="inlineStr">
        <is>
          <t>NN251BS</t>
        </is>
      </c>
      <c r="C155" s="8" t="inlineStr">
        <is>
          <t>NN-251B</t>
        </is>
      </c>
      <c r="D155" s="9" t="inlineStr">
        <is>
          <t>扭捏niunie「夏雪」浅蓝色大摆纱裙灵动百搭半身裙伞裙夏季新款</t>
        </is>
      </c>
      <c r="E155" s="9" t="inlineStr">
        <is>
          <t>浅蓝色雪花纱裙</t>
        </is>
      </c>
      <c r="F155" s="8" t="inlineStr">
        <is>
          <t>S</t>
        </is>
      </c>
      <c r="G155" s="10" t="n">
        <v>498</v>
      </c>
      <c r="H155" s="12" t="n">
        <v>0</v>
      </c>
      <c r="I155" s="11" t="inlineStr">
        <is>
          <t>https://img.alicdn.com/bao/uploaded/i3/2217590670593/O1CN01ikfzTQ1GFdupzS8As_!!2217590670593.jpg</t>
        </is>
      </c>
      <c r="J155" s="11" t="inlineStr">
        <is>
          <t>http://item.taobao.com/item.htm?id=915953464203</t>
        </is>
      </c>
    </row>
    <row r="156" ht="17" customHeight="1">
      <c r="A156" s="4" t="n">
        <v>153</v>
      </c>
      <c r="B156" s="4" t="inlineStr">
        <is>
          <t>NN2517L</t>
        </is>
      </c>
      <c r="C156" s="4" t="inlineStr">
        <is>
          <t>NN-2517</t>
        </is>
      </c>
      <c r="D156" s="5" t="inlineStr">
        <is>
          <t>扭捏niunie 小雪花翻领设计感简约气质高级感白色无袖衬衫上衣女</t>
        </is>
      </c>
      <c r="E156" s="5" t="inlineStr">
        <is>
          <t>白色雪花无袖衬衫</t>
        </is>
      </c>
      <c r="F156" s="4" t="inlineStr">
        <is>
          <t>L</t>
        </is>
      </c>
      <c r="G156" s="6" t="n">
        <v>428</v>
      </c>
      <c r="H156" s="4" t="n">
        <v>4</v>
      </c>
      <c r="I156" s="7" t="inlineStr">
        <is>
          <t>https://img.alicdn.com/bao/uploaded/i2/2217590670593/O1CN01tiG55f1GFduxTzyep_!!2217590670593.jpg</t>
        </is>
      </c>
      <c r="J156" s="7" t="inlineStr">
        <is>
          <t>http://item.taobao.com/item.htm?id=915597412031</t>
        </is>
      </c>
    </row>
    <row r="157" ht="17" customHeight="1">
      <c r="A157" s="8" t="n">
        <v>154</v>
      </c>
      <c r="B157" s="8" t="inlineStr">
        <is>
          <t>NN2517M</t>
        </is>
      </c>
      <c r="C157" s="8" t="inlineStr">
        <is>
          <t>NN-2517</t>
        </is>
      </c>
      <c r="D157" s="9" t="inlineStr">
        <is>
          <t>扭捏niunie 小雪花翻领设计感简约气质高级感白色无袖衬衫上衣女</t>
        </is>
      </c>
      <c r="E157" s="9" t="inlineStr">
        <is>
          <t>白色雪花无袖衬衫</t>
        </is>
      </c>
      <c r="F157" s="8" t="inlineStr">
        <is>
          <t>M</t>
        </is>
      </c>
      <c r="G157" s="10" t="n">
        <v>428</v>
      </c>
      <c r="H157" s="8" t="n">
        <v>7</v>
      </c>
      <c r="I157" s="11" t="inlineStr">
        <is>
          <t>https://img.alicdn.com/bao/uploaded/i2/2217590670593/O1CN01tiG55f1GFduxTzyep_!!2217590670593.jpg</t>
        </is>
      </c>
      <c r="J157" s="11" t="inlineStr">
        <is>
          <t>http://item.taobao.com/item.htm?id=915597412031</t>
        </is>
      </c>
    </row>
    <row r="158" ht="17" customHeight="1">
      <c r="A158" s="4" t="n">
        <v>155</v>
      </c>
      <c r="B158" s="4" t="inlineStr">
        <is>
          <t>NN2517S</t>
        </is>
      </c>
      <c r="C158" s="4" t="inlineStr">
        <is>
          <t>NN-2517</t>
        </is>
      </c>
      <c r="D158" s="5" t="inlineStr">
        <is>
          <t>扭捏niunie 小雪花翻领设计感简约气质高级感白色无袖衬衫上衣女</t>
        </is>
      </c>
      <c r="E158" s="5" t="inlineStr">
        <is>
          <t>白色雪花无袖衬衫</t>
        </is>
      </c>
      <c r="F158" s="4" t="inlineStr">
        <is>
          <t>S</t>
        </is>
      </c>
      <c r="G158" s="6" t="n">
        <v>428</v>
      </c>
      <c r="H158" s="4" t="n">
        <v>3</v>
      </c>
      <c r="I158" s="7" t="inlineStr">
        <is>
          <t>https://img.alicdn.com/bao/uploaded/i2/2217590670593/O1CN01tiG55f1GFduxTzyep_!!2217590670593.jpg</t>
        </is>
      </c>
      <c r="J158" s="7" t="inlineStr">
        <is>
          <t>http://item.taobao.com/item.htm?id=915597412031</t>
        </is>
      </c>
    </row>
    <row r="159" ht="17" customHeight="1">
      <c r="A159" s="8" t="n">
        <v>156</v>
      </c>
      <c r="B159" s="8" t="inlineStr">
        <is>
          <t>NN2513M</t>
        </is>
      </c>
      <c r="C159" s="8" t="inlineStr">
        <is>
          <t>NN-2513</t>
        </is>
      </c>
      <c r="D159" s="9" t="inlineStr">
        <is>
          <t>niunie 青苹果印花绿色醋酸褶皱两面穿显瘦松紧腰半身裙小a一步裙</t>
        </is>
      </c>
      <c r="E159" s="9" t="inlineStr">
        <is>
          <t>青苹果 醋酸两面穿半裙</t>
        </is>
      </c>
      <c r="F159" s="8" t="inlineStr">
        <is>
          <t>M</t>
        </is>
      </c>
      <c r="G159" s="10" t="n">
        <v>468</v>
      </c>
      <c r="H159" s="8" t="n">
        <v>7</v>
      </c>
      <c r="I159" s="11" t="inlineStr">
        <is>
          <t>https://img.alicdn.com/bao/uploaded/i3/2217590670593/O1CN01DS26yS1GFdv48J8SF_!!2217590670593.jpg</t>
        </is>
      </c>
      <c r="J159" s="11" t="inlineStr">
        <is>
          <t>http://item.taobao.com/item.htm?id=915505076322</t>
        </is>
      </c>
    </row>
    <row r="160" ht="17" customHeight="1">
      <c r="A160" s="4" t="n">
        <v>157</v>
      </c>
      <c r="B160" s="4" t="inlineStr">
        <is>
          <t>NN2513S</t>
        </is>
      </c>
      <c r="C160" s="4" t="inlineStr">
        <is>
          <t>NN-2513</t>
        </is>
      </c>
      <c r="D160" s="5" t="inlineStr">
        <is>
          <t>niunie 青苹果印花绿色醋酸褶皱两面穿显瘦松紧腰半身裙小a一步裙</t>
        </is>
      </c>
      <c r="E160" s="5" t="inlineStr">
        <is>
          <t>青苹果 醋酸两面穿半裙</t>
        </is>
      </c>
      <c r="F160" s="4" t="inlineStr">
        <is>
          <t>S</t>
        </is>
      </c>
      <c r="G160" s="6" t="n">
        <v>468</v>
      </c>
      <c r="H160" s="12" t="n">
        <v>0</v>
      </c>
      <c r="I160" s="7" t="inlineStr">
        <is>
          <t>https://img.alicdn.com/bao/uploaded/i3/2217590670593/O1CN01DS26yS1GFdv48J8SF_!!2217590670593.jpg</t>
        </is>
      </c>
      <c r="J160" s="7" t="inlineStr">
        <is>
          <t>http://item.taobao.com/item.htm?id=915505076322</t>
        </is>
      </c>
    </row>
    <row r="161" ht="17" customHeight="1">
      <c r="A161" s="8" t="n">
        <v>158</v>
      </c>
      <c r="B161" s="8" t="inlineStr"/>
      <c r="C161" s="8" t="inlineStr">
        <is>
          <t>TNW-1008-1066</t>
        </is>
      </c>
      <c r="D161" s="9" t="inlineStr">
        <is>
          <t>扭捏 限量款 羊毛亚麻混纺西装外套 日本进口面料</t>
        </is>
      </c>
      <c r="E161" s="9" t="inlineStr">
        <is>
          <t>羊毛亚麻西装外套</t>
        </is>
      </c>
      <c r="F161" s="8" t="inlineStr">
        <is>
          <t>L</t>
        </is>
      </c>
      <c r="G161" s="10" t="n">
        <v>899</v>
      </c>
      <c r="H161" s="12" t="n">
        <v>0</v>
      </c>
      <c r="I161" s="11" t="inlineStr">
        <is>
          <t>https://img.alicdn.com/bao/uploaded/i4/2217590670593/O1CN01Ovfj1T1GFdsPe8L4t_!!2217590670593.jpg</t>
        </is>
      </c>
      <c r="J161" s="11" t="inlineStr">
        <is>
          <t>http://item.taobao.com/item.htm?id=855492008820</t>
        </is>
      </c>
    </row>
    <row r="162" ht="17" customHeight="1">
      <c r="A162" s="4" t="n">
        <v>159</v>
      </c>
      <c r="B162" s="4" t="inlineStr"/>
      <c r="C162" s="4" t="inlineStr">
        <is>
          <t>TNW-1008-1066</t>
        </is>
      </c>
      <c r="D162" s="5" t="inlineStr">
        <is>
          <t>扭捏 限量款 羊毛亚麻混纺西装外套 日本进口面料</t>
        </is>
      </c>
      <c r="E162" s="5" t="inlineStr">
        <is>
          <t>羊毛亚麻西装外套</t>
        </is>
      </c>
      <c r="F162" s="4" t="inlineStr">
        <is>
          <t>M</t>
        </is>
      </c>
      <c r="G162" s="6" t="n">
        <v>899</v>
      </c>
      <c r="H162" s="4" t="n">
        <v>3</v>
      </c>
      <c r="I162" s="7" t="inlineStr">
        <is>
          <t>https://img.alicdn.com/bao/uploaded/i4/2217590670593/O1CN01Ovfj1T1GFdsPe8L4t_!!2217590670593.jpg</t>
        </is>
      </c>
      <c r="J162" s="7" t="inlineStr">
        <is>
          <t>http://item.taobao.com/item.htm?id=855492008820</t>
        </is>
      </c>
    </row>
    <row r="163" ht="17" customHeight="1">
      <c r="A163" s="8" t="n">
        <v>160</v>
      </c>
      <c r="B163" s="8" t="inlineStr"/>
      <c r="C163" s="8" t="inlineStr">
        <is>
          <t>TNW-1008-1066</t>
        </is>
      </c>
      <c r="D163" s="9" t="inlineStr">
        <is>
          <t>扭捏 限量款 羊毛亚麻混纺西装外套 日本进口面料</t>
        </is>
      </c>
      <c r="E163" s="9" t="inlineStr">
        <is>
          <t>羊毛亚麻西装外套</t>
        </is>
      </c>
      <c r="F163" s="8" t="inlineStr">
        <is>
          <t>S</t>
        </is>
      </c>
      <c r="G163" s="10" t="n">
        <v>899</v>
      </c>
      <c r="H163" s="8" t="n">
        <v>3</v>
      </c>
      <c r="I163" s="11" t="inlineStr">
        <is>
          <t>https://img.alicdn.com/bao/uploaded/i4/2217590670593/O1CN01Ovfj1T1GFdsPe8L4t_!!2217590670593.jpg</t>
        </is>
      </c>
      <c r="J163" s="11" t="inlineStr">
        <is>
          <t>http://item.taobao.com/item.htm?id=855492008820</t>
        </is>
      </c>
    </row>
    <row r="164" ht="17" customHeight="1">
      <c r="A164" s="4" t="n">
        <v>161</v>
      </c>
      <c r="B164" s="4" t="inlineStr">
        <is>
          <t>TNW-1066-灰格L</t>
        </is>
      </c>
      <c r="C164" s="4" t="inlineStr">
        <is>
          <t>TNW-1066</t>
        </is>
      </c>
      <c r="D164" s="5" t="inlineStr">
        <is>
          <t>扭捏 灰色羊毛混纺 复古vintage感棕色格子短裙百褶裙秋冬</t>
        </is>
      </c>
      <c r="E164" s="5" t="inlineStr">
        <is>
          <t>灰色毛呢短裙</t>
        </is>
      </c>
      <c r="F164" s="4" t="inlineStr">
        <is>
          <t>L</t>
        </is>
      </c>
      <c r="G164" s="6" t="n">
        <v>319</v>
      </c>
      <c r="H164" s="4" t="n">
        <v>3</v>
      </c>
      <c r="I164" s="7" t="inlineStr">
        <is>
          <t>https://img.alicdn.com/bao/uploaded/i1/2217590670593/O1CN01x0hiMl1GFdsYTf1jo_!!2217590670593.jpg</t>
        </is>
      </c>
      <c r="J164" s="7" t="inlineStr">
        <is>
          <t>http://item.taobao.com/item.htm?id=856802874022</t>
        </is>
      </c>
    </row>
    <row r="165" ht="17" customHeight="1">
      <c r="A165" s="8" t="n">
        <v>162</v>
      </c>
      <c r="B165" s="8" t="inlineStr">
        <is>
          <t>TNW-1066-棕格L</t>
        </is>
      </c>
      <c r="C165" s="8" t="inlineStr">
        <is>
          <t>TNW-1066</t>
        </is>
      </c>
      <c r="D165" s="9" t="inlineStr">
        <is>
          <t>扭捏 灰色羊毛混纺 复古vintage感棕色格子短裙百褶裙秋冬</t>
        </is>
      </c>
      <c r="E165" s="9" t="inlineStr">
        <is>
          <t>棕色格子短裙</t>
        </is>
      </c>
      <c r="F165" s="8" t="inlineStr">
        <is>
          <t>L</t>
        </is>
      </c>
      <c r="G165" s="10" t="n">
        <v>319</v>
      </c>
      <c r="H165" s="8" t="n">
        <v>19</v>
      </c>
      <c r="I165" s="11" t="inlineStr">
        <is>
          <t>https://img.alicdn.com/bao/uploaded/i4/2217590670593/O1CN01eRpCI51GFdsVenbHc_!!2217590670593.jpg</t>
        </is>
      </c>
      <c r="J165" s="11" t="inlineStr">
        <is>
          <t>http://item.taobao.com/item.htm?id=856802874022</t>
        </is>
      </c>
    </row>
    <row r="166" ht="17" customHeight="1">
      <c r="A166" s="4" t="n">
        <v>163</v>
      </c>
      <c r="B166" s="4" t="inlineStr">
        <is>
          <t>TNW-1011-灰M</t>
        </is>
      </c>
      <c r="C166" s="4" t="inlineStr">
        <is>
          <t>TNW-1011</t>
        </is>
      </c>
      <c r="D166" s="5" t="inlineStr">
        <is>
          <t>扭捏 宽松舒适羊毛混纺休闲裤 复古松弛感高腰阔腿长裤 可机洗</t>
        </is>
      </c>
      <c r="E166" s="5" t="inlineStr">
        <is>
          <t>深灰色阔腿长裤</t>
        </is>
      </c>
      <c r="F166" s="4" t="inlineStr">
        <is>
          <t>M</t>
        </is>
      </c>
      <c r="G166" s="6" t="n">
        <v>359</v>
      </c>
      <c r="H166" s="4" t="n">
        <v>10</v>
      </c>
      <c r="I166" s="7" t="inlineStr">
        <is>
          <t>https://img.alicdn.com/bao/uploaded/i2/2217590670593/O1CN01iX2YZ01GFdsWmirN3_!!2217590670593.jpg</t>
        </is>
      </c>
      <c r="J166" s="7" t="inlineStr">
        <is>
          <t>http://item.taobao.com/item.htm?id=857128161092</t>
        </is>
      </c>
    </row>
    <row r="167" ht="17" customHeight="1">
      <c r="A167" s="8" t="n">
        <v>164</v>
      </c>
      <c r="B167" s="8" t="inlineStr">
        <is>
          <t>TNW-1011-灰S</t>
        </is>
      </c>
      <c r="C167" s="8" t="inlineStr">
        <is>
          <t>TNW-1011</t>
        </is>
      </c>
      <c r="D167" s="9" t="inlineStr">
        <is>
          <t>扭捏 宽松舒适羊毛混纺休闲裤 复古松弛感高腰阔腿长裤 可机洗</t>
        </is>
      </c>
      <c r="E167" s="9" t="inlineStr">
        <is>
          <t>深灰色阔腿长裤</t>
        </is>
      </c>
      <c r="F167" s="8" t="inlineStr">
        <is>
          <t>S</t>
        </is>
      </c>
      <c r="G167" s="10" t="n">
        <v>359</v>
      </c>
      <c r="H167" s="8" t="n">
        <v>10</v>
      </c>
      <c r="I167" s="11" t="inlineStr">
        <is>
          <t>https://img.alicdn.com/bao/uploaded/i2/2217590670593/O1CN01iX2YZ01GFdsWmirN3_!!2217590670593.jpg</t>
        </is>
      </c>
      <c r="J167" s="11" t="inlineStr">
        <is>
          <t>http://item.taobao.com/item.htm?id=857128161092</t>
        </is>
      </c>
    </row>
    <row r="168" ht="17" customHeight="1">
      <c r="A168" s="4" t="n">
        <v>165</v>
      </c>
      <c r="B168" s="4" t="inlineStr">
        <is>
          <t>TNW-1066-灰格M</t>
        </is>
      </c>
      <c r="C168" s="4" t="inlineStr">
        <is>
          <t>TNW-1066</t>
        </is>
      </c>
      <c r="D168" s="5" t="inlineStr">
        <is>
          <t>扭捏 灰色羊毛混纺 复古vintage感棕色格子短裙百褶裙秋冬</t>
        </is>
      </c>
      <c r="E168" s="5" t="inlineStr">
        <is>
          <t>灰色毛呢短裙</t>
        </is>
      </c>
      <c r="F168" s="4" t="inlineStr">
        <is>
          <t>M</t>
        </is>
      </c>
      <c r="G168" s="6" t="n">
        <v>319</v>
      </c>
      <c r="H168" s="4" t="n">
        <v>3</v>
      </c>
      <c r="I168" s="7" t="inlineStr">
        <is>
          <t>https://img.alicdn.com/bao/uploaded/i1/2217590670593/O1CN01x0hiMl1GFdsYTf1jo_!!2217590670593.jpg</t>
        </is>
      </c>
      <c r="J168" s="7" t="inlineStr">
        <is>
          <t>http://item.taobao.com/item.htm?id=856802874022</t>
        </is>
      </c>
    </row>
    <row r="169" ht="17" customHeight="1">
      <c r="A169" s="8" t="n">
        <v>166</v>
      </c>
      <c r="B169" s="8" t="inlineStr">
        <is>
          <t>TNW-1066-灰格S</t>
        </is>
      </c>
      <c r="C169" s="8" t="inlineStr">
        <is>
          <t>TNW-1066</t>
        </is>
      </c>
      <c r="D169" s="9" t="inlineStr">
        <is>
          <t>扭捏 灰色羊毛混纺 复古vintage感棕色格子短裙百褶裙秋冬</t>
        </is>
      </c>
      <c r="E169" s="9" t="inlineStr">
        <is>
          <t>灰色毛呢短裙</t>
        </is>
      </c>
      <c r="F169" s="8" t="inlineStr">
        <is>
          <t>S</t>
        </is>
      </c>
      <c r="G169" s="10" t="n">
        <v>319</v>
      </c>
      <c r="H169" s="8" t="n">
        <v>3</v>
      </c>
      <c r="I169" s="11" t="inlineStr">
        <is>
          <t>https://img.alicdn.com/bao/uploaded/i1/2217590670593/O1CN01x0hiMl1GFdsYTf1jo_!!2217590670593.jpg</t>
        </is>
      </c>
      <c r="J169" s="11" t="inlineStr">
        <is>
          <t>http://item.taobao.com/item.htm?id=856802874022</t>
        </is>
      </c>
    </row>
    <row r="170" ht="17" customHeight="1">
      <c r="A170" s="4" t="n">
        <v>167</v>
      </c>
      <c r="B170" s="4" t="inlineStr">
        <is>
          <t>TNW-1066-棕格M</t>
        </is>
      </c>
      <c r="C170" s="4" t="inlineStr">
        <is>
          <t>TNW-1066</t>
        </is>
      </c>
      <c r="D170" s="5" t="inlineStr">
        <is>
          <t>扭捏 灰色羊毛混纺 复古vintage感棕色格子短裙百褶裙秋冬</t>
        </is>
      </c>
      <c r="E170" s="5" t="inlineStr">
        <is>
          <t>棕色格子短裙</t>
        </is>
      </c>
      <c r="F170" s="4" t="inlineStr">
        <is>
          <t>M</t>
        </is>
      </c>
      <c r="G170" s="6" t="n">
        <v>319</v>
      </c>
      <c r="H170" s="4" t="n">
        <v>10</v>
      </c>
      <c r="I170" s="7" t="inlineStr">
        <is>
          <t>https://img.alicdn.com/bao/uploaded/i4/2217590670593/O1CN01eRpCI51GFdsVenbHc_!!2217590670593.jpg</t>
        </is>
      </c>
      <c r="J170" s="7" t="inlineStr">
        <is>
          <t>http://item.taobao.com/item.htm?id=856802874022</t>
        </is>
      </c>
    </row>
    <row r="171" ht="17" customHeight="1">
      <c r="A171" s="8" t="n">
        <v>168</v>
      </c>
      <c r="B171" s="8" t="inlineStr">
        <is>
          <t>TNW-1066-棕格S</t>
        </is>
      </c>
      <c r="C171" s="8" t="inlineStr">
        <is>
          <t>TNW-1066</t>
        </is>
      </c>
      <c r="D171" s="9" t="inlineStr">
        <is>
          <t>扭捏 灰色羊毛混纺 复古vintage感棕色格子短裙百褶裙秋冬</t>
        </is>
      </c>
      <c r="E171" s="9" t="inlineStr">
        <is>
          <t>棕色格子短裙</t>
        </is>
      </c>
      <c r="F171" s="8" t="inlineStr">
        <is>
          <t>S</t>
        </is>
      </c>
      <c r="G171" s="10" t="n">
        <v>319</v>
      </c>
      <c r="H171" s="8" t="n">
        <v>10</v>
      </c>
      <c r="I171" s="11" t="inlineStr">
        <is>
          <t>https://img.alicdn.com/bao/uploaded/i4/2217590670593/O1CN01eRpCI51GFdsVenbHc_!!2217590670593.jpg</t>
        </is>
      </c>
      <c r="J171" s="11" t="inlineStr">
        <is>
          <t>http://item.taobao.com/item.htm?id=856802874022</t>
        </is>
      </c>
    </row>
    <row r="172" ht="17" customHeight="1">
      <c r="A172" s="4" t="n">
        <v>169</v>
      </c>
      <c r="B172" s="4" t="inlineStr">
        <is>
          <t>TNW-1015-M</t>
        </is>
      </c>
      <c r="C172" s="4" t="inlineStr">
        <is>
          <t>TNW-1038-1015</t>
        </is>
      </c>
      <c r="D172" s="5" t="inlineStr">
        <is>
          <t>扭捏 100%全羊毛日系少女复古娃娃领外套半身裙套装 英国陶瓷扣</t>
        </is>
      </c>
      <c r="E172" s="5" t="inlineStr">
        <is>
          <t>灰色毛呢半身裙</t>
        </is>
      </c>
      <c r="F172" s="4" t="inlineStr">
        <is>
          <t>M</t>
        </is>
      </c>
      <c r="G172" s="6" t="n">
        <v>499</v>
      </c>
      <c r="H172" s="4" t="n">
        <v>6</v>
      </c>
      <c r="I172" s="7" t="inlineStr">
        <is>
          <t>https://img.alicdn.com/bao/uploaded/i1/2217590670593/O1CN01ClX7Xl1GFdsW9T9YI_!!2217590670593.jpg</t>
        </is>
      </c>
      <c r="J172" s="7" t="inlineStr">
        <is>
          <t>http://item.taobao.com/item.htm?id=857174708641</t>
        </is>
      </c>
    </row>
    <row r="173" ht="17" customHeight="1">
      <c r="A173" s="8" t="n">
        <v>170</v>
      </c>
      <c r="B173" s="8" t="inlineStr">
        <is>
          <t>TNW-1015-S</t>
        </is>
      </c>
      <c r="C173" s="8" t="inlineStr">
        <is>
          <t>TNW-1038-1015</t>
        </is>
      </c>
      <c r="D173" s="9" t="inlineStr">
        <is>
          <t>扭捏 100%全羊毛日系少女复古娃娃领外套半身裙套装 英国陶瓷扣</t>
        </is>
      </c>
      <c r="E173" s="9" t="inlineStr">
        <is>
          <t>灰色毛呢半身裙</t>
        </is>
      </c>
      <c r="F173" s="8" t="inlineStr">
        <is>
          <t>S</t>
        </is>
      </c>
      <c r="G173" s="10" t="n">
        <v>499</v>
      </c>
      <c r="H173" s="8" t="n">
        <v>1</v>
      </c>
      <c r="I173" s="11" t="inlineStr">
        <is>
          <t>https://img.alicdn.com/bao/uploaded/i1/2217590670593/O1CN01ClX7Xl1GFdsW9T9YI_!!2217590670593.jpg</t>
        </is>
      </c>
      <c r="J173" s="11" t="inlineStr">
        <is>
          <t>http://item.taobao.com/item.htm?id=857174708641</t>
        </is>
      </c>
    </row>
    <row r="174" ht="17" customHeight="1">
      <c r="A174" s="4" t="n">
        <v>171</v>
      </c>
      <c r="B174" s="4" t="inlineStr">
        <is>
          <t>TNW-1038-M</t>
        </is>
      </c>
      <c r="C174" s="4" t="inlineStr">
        <is>
          <t>TNW-1038-1015</t>
        </is>
      </c>
      <c r="D174" s="5" t="inlineStr">
        <is>
          <t>扭捏 100%全羊毛日系少女复古娃娃领外套半身裙套装 英国陶瓷扣</t>
        </is>
      </c>
      <c r="E174" s="5" t="inlineStr">
        <is>
          <t>娃娃领毛呢外套</t>
        </is>
      </c>
      <c r="F174" s="4" t="inlineStr">
        <is>
          <t>M</t>
        </is>
      </c>
      <c r="G174" s="6" t="n">
        <v>799</v>
      </c>
      <c r="H174" s="4" t="n">
        <v>5</v>
      </c>
      <c r="I174" s="7" t="inlineStr">
        <is>
          <t>https://img.alicdn.com/bao/uploaded/i1/2217590670593/O1CN01J3sSF31GFdsaUwHmD_!!2217590670593.jpg</t>
        </is>
      </c>
      <c r="J174" s="7" t="inlineStr">
        <is>
          <t>http://item.taobao.com/item.htm?id=857174708641</t>
        </is>
      </c>
    </row>
    <row r="175" ht="17" customHeight="1">
      <c r="A175" s="8" t="n">
        <v>172</v>
      </c>
      <c r="B175" s="8" t="inlineStr">
        <is>
          <t>TNW-1038-S</t>
        </is>
      </c>
      <c r="C175" s="8" t="inlineStr">
        <is>
          <t>TNW-1038-1015</t>
        </is>
      </c>
      <c r="D175" s="9" t="inlineStr">
        <is>
          <t>扭捏 100%全羊毛日系少女复古娃娃领外套半身裙套装 英国陶瓷扣</t>
        </is>
      </c>
      <c r="E175" s="9" t="inlineStr">
        <is>
          <t>娃娃领毛呢外套</t>
        </is>
      </c>
      <c r="F175" s="8" t="inlineStr">
        <is>
          <t>S</t>
        </is>
      </c>
      <c r="G175" s="10" t="n">
        <v>799</v>
      </c>
      <c r="H175" s="8" t="n">
        <v>13</v>
      </c>
      <c r="I175" s="11" t="inlineStr">
        <is>
          <t>https://img.alicdn.com/bao/uploaded/i1/2217590670593/O1CN01J3sSF31GFdsaUwHmD_!!2217590670593.jpg</t>
        </is>
      </c>
      <c r="J175" s="11" t="inlineStr">
        <is>
          <t>http://item.taobao.com/item.htm?id=857174708641</t>
        </is>
      </c>
    </row>
    <row r="176" ht="17" customHeight="1">
      <c r="A176" s="4" t="n">
        <v>173</v>
      </c>
      <c r="B176" s="4" t="inlineStr">
        <is>
          <t>TNW-0902-M</t>
        </is>
      </c>
      <c r="C176" s="4" t="inlineStr">
        <is>
          <t>TNW-0928-0902</t>
        </is>
      </c>
      <c r="D176" s="5" t="inlineStr">
        <is>
          <t>扭捏 棕绿色质感显瘦 100%全羊毛呢外套半裙</t>
        </is>
      </c>
      <c r="E176" s="5" t="inlineStr">
        <is>
          <t>双层碎花毛呢半裙</t>
        </is>
      </c>
      <c r="F176" s="4" t="inlineStr">
        <is>
          <t>M</t>
        </is>
      </c>
      <c r="G176" s="6" t="n">
        <v>459</v>
      </c>
      <c r="H176" s="4" t="n">
        <v>2</v>
      </c>
      <c r="I176" s="7" t="inlineStr">
        <is>
          <t>https://img.alicdn.com/bao/uploaded/i3/2217590670593/O1CN01TKeckx1GFdscUpHg1_!!2217590670593.jpg</t>
        </is>
      </c>
      <c r="J176" s="7" t="inlineStr">
        <is>
          <t>http://item.taobao.com/item.htm?id=856918473955</t>
        </is>
      </c>
    </row>
    <row r="177" ht="17" customHeight="1">
      <c r="A177" s="8" t="n">
        <v>174</v>
      </c>
      <c r="B177" s="8" t="inlineStr">
        <is>
          <t>TNW-0902-S</t>
        </is>
      </c>
      <c r="C177" s="8" t="inlineStr">
        <is>
          <t>TNW-0928-0902</t>
        </is>
      </c>
      <c r="D177" s="9" t="inlineStr">
        <is>
          <t>扭捏 棕绿色质感显瘦 100%全羊毛呢外套半裙</t>
        </is>
      </c>
      <c r="E177" s="9" t="inlineStr">
        <is>
          <t>双层碎花毛呢半裙</t>
        </is>
      </c>
      <c r="F177" s="8" t="inlineStr">
        <is>
          <t>S</t>
        </is>
      </c>
      <c r="G177" s="10" t="n">
        <v>459</v>
      </c>
      <c r="H177" s="8" t="n">
        <v>2</v>
      </c>
      <c r="I177" s="11" t="inlineStr">
        <is>
          <t>https://img.alicdn.com/bao/uploaded/i3/2217590670593/O1CN01TKeckx1GFdscUpHg1_!!2217590670593.jpg</t>
        </is>
      </c>
      <c r="J177" s="11" t="inlineStr">
        <is>
          <t>http://item.taobao.com/item.htm?id=856918473955</t>
        </is>
      </c>
    </row>
    <row r="178" ht="17" customHeight="1">
      <c r="A178" s="4" t="n">
        <v>175</v>
      </c>
      <c r="B178" s="4" t="inlineStr">
        <is>
          <t>TNW-0928-M</t>
        </is>
      </c>
      <c r="C178" s="4" t="inlineStr">
        <is>
          <t>TNW-0928-0902</t>
        </is>
      </c>
      <c r="D178" s="5" t="inlineStr">
        <is>
          <t>扭捏 棕绿色质感显瘦 100%全羊毛呢外套半裙</t>
        </is>
      </c>
      <c r="E178" s="5" t="inlineStr">
        <is>
          <t>修身毛呢外套</t>
        </is>
      </c>
      <c r="F178" s="4" t="inlineStr">
        <is>
          <t>M</t>
        </is>
      </c>
      <c r="G178" s="6" t="n">
        <v>759</v>
      </c>
      <c r="H178" s="12" t="n">
        <v>0</v>
      </c>
      <c r="I178" s="7" t="inlineStr">
        <is>
          <t>https://img.alicdn.com/bao/uploaded/i1/2217590670593/O1CN01jFreBd1GFdsejACNL_!!2217590670593.jpg</t>
        </is>
      </c>
      <c r="J178" s="7" t="inlineStr">
        <is>
          <t>http://item.taobao.com/item.htm?id=856918473955</t>
        </is>
      </c>
    </row>
    <row r="179" ht="17" customHeight="1">
      <c r="A179" s="8" t="n">
        <v>176</v>
      </c>
      <c r="B179" s="8" t="inlineStr">
        <is>
          <t>TNW-0928-S</t>
        </is>
      </c>
      <c r="C179" s="8" t="inlineStr">
        <is>
          <t>TNW-0928-0902</t>
        </is>
      </c>
      <c r="D179" s="9" t="inlineStr">
        <is>
          <t>扭捏 棕绿色质感显瘦 100%全羊毛呢外套半裙</t>
        </is>
      </c>
      <c r="E179" s="9" t="inlineStr">
        <is>
          <t>修身毛呢外套</t>
        </is>
      </c>
      <c r="F179" s="8" t="inlineStr">
        <is>
          <t>S</t>
        </is>
      </c>
      <c r="G179" s="10" t="n">
        <v>759</v>
      </c>
      <c r="H179" s="8" t="n">
        <v>2</v>
      </c>
      <c r="I179" s="11" t="inlineStr">
        <is>
          <t>https://img.alicdn.com/bao/uploaded/i1/2217590670593/O1CN01jFreBd1GFdsejACNL_!!2217590670593.jpg</t>
        </is>
      </c>
      <c r="J179" s="11" t="inlineStr">
        <is>
          <t>http://item.taobao.com/item.htm?id=856918473955</t>
        </is>
      </c>
    </row>
    <row r="180" ht="17" customHeight="1">
      <c r="A180" s="4" t="n">
        <v>177</v>
      </c>
      <c r="B180" s="4" t="inlineStr">
        <is>
          <t>TNW-1010-M</t>
        </is>
      </c>
      <c r="C180" s="4" t="inlineStr">
        <is>
          <t>TNW-1010</t>
        </is>
      </c>
      <c r="D180" s="5" t="inlineStr">
        <is>
          <t>扭捏 全棉提花格子碎花拼接松紧腰半身裙长裙 森系古着感</t>
        </is>
      </c>
      <c r="E180" s="5" t="inlineStr">
        <is>
          <t>拼接半身长裙</t>
        </is>
      </c>
      <c r="F180" s="4" t="inlineStr">
        <is>
          <t>M</t>
        </is>
      </c>
      <c r="G180" s="6" t="n">
        <v>439</v>
      </c>
      <c r="H180" s="4" t="n">
        <v>4</v>
      </c>
      <c r="I180" s="7" t="inlineStr">
        <is>
          <t>https://img.alicdn.com/bao/uploaded/i4/2217590670593/O1CN01eVMZOI1GFdsWomFSu_!!2217590670593.jpg</t>
        </is>
      </c>
      <c r="J180" s="7" t="inlineStr">
        <is>
          <t>http://item.taobao.com/item.htm?id=855273870855</t>
        </is>
      </c>
    </row>
    <row r="181" ht="17" customHeight="1">
      <c r="A181" s="8" t="n">
        <v>178</v>
      </c>
      <c r="B181" s="8" t="inlineStr">
        <is>
          <t>TNW-1010-S</t>
        </is>
      </c>
      <c r="C181" s="8" t="inlineStr">
        <is>
          <t>TNW-1010</t>
        </is>
      </c>
      <c r="D181" s="9" t="inlineStr">
        <is>
          <t>扭捏 全棉提花格子碎花拼接松紧腰半身裙长裙 森系古着感</t>
        </is>
      </c>
      <c r="E181" s="9" t="inlineStr">
        <is>
          <t>拼接半身长裙</t>
        </is>
      </c>
      <c r="F181" s="8" t="inlineStr">
        <is>
          <t>S</t>
        </is>
      </c>
      <c r="G181" s="10" t="n">
        <v>439</v>
      </c>
      <c r="H181" s="8" t="n">
        <v>6</v>
      </c>
      <c r="I181" s="11" t="inlineStr">
        <is>
          <t>https://img.alicdn.com/bao/uploaded/i4/2217590670593/O1CN01eVMZOI1GFdsWomFSu_!!2217590670593.jpg</t>
        </is>
      </c>
      <c r="J181" s="11" t="inlineStr">
        <is>
          <t>http://item.taobao.com/item.htm?id=855273870855</t>
        </is>
      </c>
    </row>
    <row r="182" ht="17" customHeight="1">
      <c r="A182" s="4" t="n">
        <v>179</v>
      </c>
      <c r="B182" s="4" t="inlineStr">
        <is>
          <t>TNW-1026-灰紫M</t>
        </is>
      </c>
      <c r="C182" s="4" t="inlineStr">
        <is>
          <t>TNW-1026</t>
        </is>
      </c>
      <c r="D182" s="5" t="inlineStr">
        <is>
          <t>扭捏 豹纹可拆卸领子灯芯绒拼接风衣式中长款外套90白鹅绒服</t>
        </is>
      </c>
      <c r="E182" s="5" t="inlineStr">
        <is>
          <t>灰紫色90白鹅绒</t>
        </is>
      </c>
      <c r="F182" s="4" t="inlineStr">
        <is>
          <t>M</t>
        </is>
      </c>
      <c r="G182" s="6" t="n">
        <v>1599</v>
      </c>
      <c r="H182" s="4" t="n">
        <v>15</v>
      </c>
      <c r="I182" s="7" t="inlineStr">
        <is>
          <t>https://img.alicdn.com/bao/uploaded/i1/2217590670593/O1CN01yG94oZ1GFdsW2W2UZ_!!2217590670593.jpg</t>
        </is>
      </c>
      <c r="J182" s="7" t="inlineStr">
        <is>
          <t>http://item.taobao.com/item.htm?id=855454936954</t>
        </is>
      </c>
    </row>
    <row r="183" ht="17" customHeight="1">
      <c r="A183" s="8" t="n">
        <v>180</v>
      </c>
      <c r="B183" s="8" t="inlineStr">
        <is>
          <t>TNW-1026-灰紫S</t>
        </is>
      </c>
      <c r="C183" s="8" t="inlineStr">
        <is>
          <t>TNW-1026</t>
        </is>
      </c>
      <c r="D183" s="9" t="inlineStr">
        <is>
          <t>扭捏 豹纹可拆卸领子灯芯绒拼接风衣式中长款外套90白鹅绒服</t>
        </is>
      </c>
      <c r="E183" s="9" t="inlineStr">
        <is>
          <t>灰紫色90白鹅绒</t>
        </is>
      </c>
      <c r="F183" s="8" t="inlineStr">
        <is>
          <t>S</t>
        </is>
      </c>
      <c r="G183" s="10" t="n">
        <v>1599</v>
      </c>
      <c r="H183" s="8" t="n">
        <v>14</v>
      </c>
      <c r="I183" s="11" t="inlineStr">
        <is>
          <t>https://img.alicdn.com/bao/uploaded/i1/2217590670593/O1CN01yG94oZ1GFdsW2W2UZ_!!2217590670593.jpg</t>
        </is>
      </c>
      <c r="J183" s="11" t="inlineStr">
        <is>
          <t>http://item.taobao.com/item.htm?id=855454936954</t>
        </is>
      </c>
    </row>
    <row r="184" ht="17" customHeight="1">
      <c r="A184" s="4" t="n">
        <v>181</v>
      </c>
      <c r="B184" s="4" t="inlineStr">
        <is>
          <t>TNW-1026-栗M</t>
        </is>
      </c>
      <c r="C184" s="4" t="inlineStr">
        <is>
          <t>TNW-1026</t>
        </is>
      </c>
      <c r="D184" s="5" t="inlineStr">
        <is>
          <t>扭捏 豹纹可拆卸领子灯芯绒拼接风衣式中长款外套90白鹅绒服</t>
        </is>
      </c>
      <c r="E184" s="5" t="inlineStr">
        <is>
          <t>栗色90白鹅绒服</t>
        </is>
      </c>
      <c r="F184" s="4" t="inlineStr">
        <is>
          <t>M</t>
        </is>
      </c>
      <c r="G184" s="6" t="n">
        <v>1599</v>
      </c>
      <c r="H184" s="4" t="n">
        <v>13</v>
      </c>
      <c r="I184" s="7" t="inlineStr">
        <is>
          <t>https://img.alicdn.com/bao/uploaded/i4/2217590670593/O1CN012PnAfO1GFdsWUKzqM_!!2217590670593.jpg</t>
        </is>
      </c>
      <c r="J184" s="7" t="inlineStr">
        <is>
          <t>http://item.taobao.com/item.htm?id=855454936954</t>
        </is>
      </c>
    </row>
    <row r="185" ht="17" customHeight="1">
      <c r="A185" s="8" t="n">
        <v>182</v>
      </c>
      <c r="B185" s="8" t="inlineStr">
        <is>
          <t>TNW-1026-栗S</t>
        </is>
      </c>
      <c r="C185" s="8" t="inlineStr">
        <is>
          <t>TNW-1026</t>
        </is>
      </c>
      <c r="D185" s="9" t="inlineStr">
        <is>
          <t>扭捏 豹纹可拆卸领子灯芯绒拼接风衣式中长款外套90白鹅绒服</t>
        </is>
      </c>
      <c r="E185" s="9" t="inlineStr">
        <is>
          <t>栗色90白鹅绒服</t>
        </is>
      </c>
      <c r="F185" s="8" t="inlineStr">
        <is>
          <t>S</t>
        </is>
      </c>
      <c r="G185" s="10" t="n">
        <v>1599</v>
      </c>
      <c r="H185" s="8" t="n">
        <v>16</v>
      </c>
      <c r="I185" s="11" t="inlineStr">
        <is>
          <t>https://img.alicdn.com/bao/uploaded/i4/2217590670593/O1CN012PnAfO1GFdsWUKzqM_!!2217590670593.jpg</t>
        </is>
      </c>
      <c r="J185" s="11" t="inlineStr">
        <is>
          <t>http://item.taobao.com/item.htm?id=855454936954</t>
        </is>
      </c>
    </row>
    <row r="186" ht="17" customHeight="1">
      <c r="A186" s="4" t="n">
        <v>183</v>
      </c>
      <c r="B186" s="4" t="inlineStr">
        <is>
          <t>TNW-1065-灰M</t>
        </is>
      </c>
      <c r="C186" s="4" t="inlineStr">
        <is>
          <t>TNW-1065</t>
        </is>
      </c>
      <c r="D186" s="5" t="inlineStr">
        <is>
          <t>扭捏 秋冬豹纹纯棉亲肤柔软保暖一字领打底衫上衣 长袖T恤 原创</t>
        </is>
      </c>
      <c r="E186" s="5" t="inlineStr">
        <is>
          <t>灰色豹纹长袖T恤</t>
        </is>
      </c>
      <c r="F186" s="4" t="inlineStr">
        <is>
          <t>M</t>
        </is>
      </c>
      <c r="G186" s="6" t="n">
        <v>319</v>
      </c>
      <c r="H186" s="4" t="n">
        <v>19</v>
      </c>
      <c r="I186" s="7" t="inlineStr">
        <is>
          <t>https://img.alicdn.com/bao/uploaded/i4/2217590670593/O1CN01wJcGZl1GFdsW6QPHZ_!!2217590670593.jpg</t>
        </is>
      </c>
      <c r="J186" s="7" t="inlineStr">
        <is>
          <t>http://item.taobao.com/item.htm?id=854836674971</t>
        </is>
      </c>
    </row>
    <row r="187" ht="17" customHeight="1">
      <c r="A187" s="8" t="n">
        <v>184</v>
      </c>
      <c r="B187" s="8" t="inlineStr">
        <is>
          <t>TNW-1065-灰S</t>
        </is>
      </c>
      <c r="C187" s="8" t="inlineStr">
        <is>
          <t>TNW-1065</t>
        </is>
      </c>
      <c r="D187" s="9" t="inlineStr">
        <is>
          <t>扭捏 秋冬豹纹纯棉亲肤柔软保暖一字领打底衫上衣 长袖T恤 原创</t>
        </is>
      </c>
      <c r="E187" s="9" t="inlineStr">
        <is>
          <t>灰色豹纹长袖T恤</t>
        </is>
      </c>
      <c r="F187" s="8" t="inlineStr">
        <is>
          <t>S</t>
        </is>
      </c>
      <c r="G187" s="10" t="n">
        <v>319</v>
      </c>
      <c r="H187" s="8" t="n">
        <v>18</v>
      </c>
      <c r="I187" s="11" t="inlineStr">
        <is>
          <t>https://img.alicdn.com/bao/uploaded/i4/2217590670593/O1CN01wJcGZl1GFdsW6QPHZ_!!2217590670593.jpg</t>
        </is>
      </c>
      <c r="J187" s="11" t="inlineStr">
        <is>
          <t>http://item.taobao.com/item.htm?id=854836674971</t>
        </is>
      </c>
    </row>
    <row r="188" ht="17" customHeight="1">
      <c r="A188" s="4" t="n">
        <v>185</v>
      </c>
      <c r="B188" s="4" t="inlineStr">
        <is>
          <t>TNW-1065-棕M</t>
        </is>
      </c>
      <c r="C188" s="4" t="inlineStr">
        <is>
          <t>TNW-1065</t>
        </is>
      </c>
      <c r="D188" s="5" t="inlineStr">
        <is>
          <t>扭捏 秋冬豹纹纯棉亲肤柔软保暖一字领打底衫上衣 长袖T恤 原创</t>
        </is>
      </c>
      <c r="E188" s="5" t="inlineStr">
        <is>
          <t>棕色豹纹长袖T恤</t>
        </is>
      </c>
      <c r="F188" s="4" t="inlineStr">
        <is>
          <t>M</t>
        </is>
      </c>
      <c r="G188" s="6" t="n">
        <v>319</v>
      </c>
      <c r="H188" s="4" t="n">
        <v>19</v>
      </c>
      <c r="I188" s="7" t="inlineStr">
        <is>
          <t>https://img.alicdn.com/bao/uploaded/i4/2217590670593/O1CN01eRpCI51GFdsVenbHc_!!2217590670593.jpg</t>
        </is>
      </c>
      <c r="J188" s="7" t="inlineStr">
        <is>
          <t>http://item.taobao.com/item.htm?id=854836674971</t>
        </is>
      </c>
    </row>
    <row r="189" ht="17" customHeight="1">
      <c r="A189" s="8" t="n">
        <v>186</v>
      </c>
      <c r="B189" s="8" t="inlineStr">
        <is>
          <t>TNW-1065-棕S</t>
        </is>
      </c>
      <c r="C189" s="8" t="inlineStr">
        <is>
          <t>TNW-1065</t>
        </is>
      </c>
      <c r="D189" s="9" t="inlineStr">
        <is>
          <t>扭捏 秋冬豹纹纯棉亲肤柔软保暖一字领打底衫上衣 长袖T恤 原创</t>
        </is>
      </c>
      <c r="E189" s="9" t="inlineStr">
        <is>
          <t>棕色豹纹长袖T恤</t>
        </is>
      </c>
      <c r="F189" s="8" t="inlineStr">
        <is>
          <t>S</t>
        </is>
      </c>
      <c r="G189" s="10" t="n">
        <v>319</v>
      </c>
      <c r="H189" s="8" t="n">
        <v>19</v>
      </c>
      <c r="I189" s="11" t="inlineStr">
        <is>
          <t>https://img.alicdn.com/bao/uploaded/i4/2217590670593/O1CN01eRpCI51GFdsVenbHc_!!2217590670593.jpg</t>
        </is>
      </c>
      <c r="J189" s="11" t="inlineStr">
        <is>
          <t>http://item.taobao.com/item.htm?id=854836674971</t>
        </is>
      </c>
    </row>
    <row r="190" ht="17" customHeight="1">
      <c r="A190" s="4" t="n">
        <v>187</v>
      </c>
      <c r="B190" s="4" t="inlineStr">
        <is>
          <t>TNW-0702-褐M</t>
        </is>
      </c>
      <c r="C190" s="4" t="inlineStr">
        <is>
          <t>TNW-0702</t>
        </is>
      </c>
      <c r="D190" s="5" t="inlineStr">
        <is>
          <t>扭捏 乐谱印花长袖T恤 兰精天丝进口美利奴羊毛打底上衣小众设计</t>
        </is>
      </c>
      <c r="E190" s="5" t="inlineStr">
        <is>
          <t>茶褐色音符上衣</t>
        </is>
      </c>
      <c r="F190" s="4" t="inlineStr">
        <is>
          <t>M</t>
        </is>
      </c>
      <c r="G190" s="6" t="n">
        <v>299</v>
      </c>
      <c r="H190" s="4" t="n">
        <v>19</v>
      </c>
      <c r="I190" s="7" t="inlineStr">
        <is>
          <t>https://img.alicdn.com/bao/uploaded/i1/2217590670593/O1CN01gQvtbb1GFdsW0DTFJ_!!2217590670593.jpg</t>
        </is>
      </c>
      <c r="J190" s="7" t="inlineStr">
        <is>
          <t>http://item.taobao.com/item.htm?id=854540170560</t>
        </is>
      </c>
    </row>
    <row r="191" ht="17" customHeight="1">
      <c r="A191" s="8" t="n">
        <v>188</v>
      </c>
      <c r="B191" s="8" t="inlineStr">
        <is>
          <t>TNW-0702-褐S</t>
        </is>
      </c>
      <c r="C191" s="8" t="inlineStr">
        <is>
          <t>TNW-0702</t>
        </is>
      </c>
      <c r="D191" s="9" t="inlineStr">
        <is>
          <t>扭捏 乐谱印花长袖T恤 兰精天丝进口美利奴羊毛打底上衣小众设计</t>
        </is>
      </c>
      <c r="E191" s="9" t="inlineStr">
        <is>
          <t>茶褐色音符上衣</t>
        </is>
      </c>
      <c r="F191" s="8" t="inlineStr">
        <is>
          <t>S</t>
        </is>
      </c>
      <c r="G191" s="10" t="n">
        <v>299</v>
      </c>
      <c r="H191" s="8" t="n">
        <v>19</v>
      </c>
      <c r="I191" s="11" t="inlineStr">
        <is>
          <t>https://img.alicdn.com/bao/uploaded/i1/2217590670593/O1CN01gQvtbb1GFdsW0DTFJ_!!2217590670593.jpg</t>
        </is>
      </c>
      <c r="J191" s="11" t="inlineStr">
        <is>
          <t>http://item.taobao.com/item.htm?id=854540170560</t>
        </is>
      </c>
    </row>
    <row r="192" ht="17" customHeight="1">
      <c r="A192" s="4" t="n">
        <v>189</v>
      </c>
      <c r="B192" s="4" t="inlineStr">
        <is>
          <t>TNW-0702-绿M</t>
        </is>
      </c>
      <c r="C192" s="4" t="inlineStr">
        <is>
          <t>TNW-0702</t>
        </is>
      </c>
      <c r="D192" s="5" t="inlineStr">
        <is>
          <t>扭捏 乐谱印花长袖T恤 兰精天丝进口美利奴羊毛打底上衣小众设计</t>
        </is>
      </c>
      <c r="E192" s="5" t="inlineStr">
        <is>
          <t>草绿色音符上衣</t>
        </is>
      </c>
      <c r="F192" s="4" t="inlineStr">
        <is>
          <t>M</t>
        </is>
      </c>
      <c r="G192" s="6" t="n">
        <v>299</v>
      </c>
      <c r="H192" s="4" t="n">
        <v>12</v>
      </c>
      <c r="I192" s="7" t="inlineStr">
        <is>
          <t>https://img.alicdn.com/bao/uploaded/i2/2217590670593/O1CN01OgaxZa1GFdspjbGwO_!!2217590670593.jpg</t>
        </is>
      </c>
      <c r="J192" s="7" t="inlineStr">
        <is>
          <t>http://item.taobao.com/item.htm?id=854540170560</t>
        </is>
      </c>
    </row>
    <row r="193" ht="17" customHeight="1">
      <c r="A193" s="8" t="n">
        <v>190</v>
      </c>
      <c r="B193" s="8" t="inlineStr">
        <is>
          <t>TNW-0702-绿S</t>
        </is>
      </c>
      <c r="C193" s="8" t="inlineStr">
        <is>
          <t>TNW-0702</t>
        </is>
      </c>
      <c r="D193" s="9" t="inlineStr">
        <is>
          <t>扭捏 乐谱印花长袖T恤 兰精天丝进口美利奴羊毛打底上衣小众设计</t>
        </is>
      </c>
      <c r="E193" s="9" t="inlineStr">
        <is>
          <t>草绿色音符上衣</t>
        </is>
      </c>
      <c r="F193" s="8" t="inlineStr">
        <is>
          <t>S</t>
        </is>
      </c>
      <c r="G193" s="10" t="n">
        <v>299</v>
      </c>
      <c r="H193" s="8" t="n">
        <v>10</v>
      </c>
      <c r="I193" s="11" t="inlineStr">
        <is>
          <t>https://img.alicdn.com/bao/uploaded/i2/2217590670593/O1CN01OgaxZa1GFdspjbGwO_!!2217590670593.jpg</t>
        </is>
      </c>
      <c r="J193" s="11" t="inlineStr">
        <is>
          <t>http://item.taobao.com/item.htm?id=854540170560</t>
        </is>
      </c>
    </row>
    <row r="194" ht="17" customHeight="1">
      <c r="A194" s="4" t="n">
        <v>191</v>
      </c>
      <c r="B194" s="4" t="inlineStr">
        <is>
          <t>TNW-1022-蓝M</t>
        </is>
      </c>
      <c r="C194" s="4" t="inlineStr">
        <is>
          <t>TNW-1022</t>
        </is>
      </c>
      <c r="D194" s="5" t="inlineStr">
        <is>
          <t>扭捏 原创碎花90白鹅绒服 浅紫色蓝色双面穿 面包羽绒服保暖外套</t>
        </is>
      </c>
      <c r="E194" s="5" t="inlineStr">
        <is>
          <t>蓝色碎花90白鹅绒服</t>
        </is>
      </c>
      <c r="F194" s="4" t="inlineStr">
        <is>
          <t>M</t>
        </is>
      </c>
      <c r="G194" s="6" t="n">
        <v>1699</v>
      </c>
      <c r="H194" s="4" t="n">
        <v>20</v>
      </c>
      <c r="I194" s="7" t="inlineStr">
        <is>
          <t>https://img.alicdn.com/bao/uploaded/i2/2217590670593/O1CN01LAVLsC1GFdsXHNbxL_!!2217590670593.jpg</t>
        </is>
      </c>
      <c r="J194" s="7" t="inlineStr">
        <is>
          <t>http://item.taobao.com/item.htm?id=854393159870</t>
        </is>
      </c>
    </row>
    <row r="195" ht="17" customHeight="1">
      <c r="A195" s="8" t="n">
        <v>192</v>
      </c>
      <c r="B195" s="8" t="inlineStr">
        <is>
          <t>TNW-1022-蓝S</t>
        </is>
      </c>
      <c r="C195" s="8" t="inlineStr">
        <is>
          <t>TNW-1022</t>
        </is>
      </c>
      <c r="D195" s="9" t="inlineStr">
        <is>
          <t>扭捏 原创碎花90白鹅绒服 浅紫色蓝色双面穿 面包羽绒服保暖外套</t>
        </is>
      </c>
      <c r="E195" s="9" t="inlineStr">
        <is>
          <t>蓝色碎花90白鹅绒服</t>
        </is>
      </c>
      <c r="F195" s="8" t="inlineStr">
        <is>
          <t>S</t>
        </is>
      </c>
      <c r="G195" s="10" t="n">
        <v>1699</v>
      </c>
      <c r="H195" s="8" t="n">
        <v>9</v>
      </c>
      <c r="I195" s="11" t="inlineStr">
        <is>
          <t>https://img.alicdn.com/bao/uploaded/i2/2217590670593/O1CN01LAVLsC1GFdsXHNbxL_!!2217590670593.jpg</t>
        </is>
      </c>
      <c r="J195" s="11" t="inlineStr">
        <is>
          <t>http://item.taobao.com/item.htm?id=854393159870</t>
        </is>
      </c>
    </row>
    <row r="196" ht="17" customHeight="1">
      <c r="A196" s="4" t="n">
        <v>193</v>
      </c>
      <c r="B196" s="4" t="inlineStr">
        <is>
          <t>TNW-1022-紫M</t>
        </is>
      </c>
      <c r="C196" s="4" t="inlineStr">
        <is>
          <t>TNW-1022</t>
        </is>
      </c>
      <c r="D196" s="5" t="inlineStr">
        <is>
          <t>扭捏 原创碎花90白鹅绒服 浅紫色蓝色双面穿 面包羽绒服保暖外套</t>
        </is>
      </c>
      <c r="E196" s="5" t="inlineStr">
        <is>
          <t>紫色碎花90白鹅绒服</t>
        </is>
      </c>
      <c r="F196" s="4" t="inlineStr">
        <is>
          <t>M</t>
        </is>
      </c>
      <c r="G196" s="6" t="n">
        <v>1699</v>
      </c>
      <c r="H196" s="4" t="n">
        <v>19</v>
      </c>
      <c r="I196" s="7" t="inlineStr">
        <is>
          <t>https://img.alicdn.com/bao/uploaded/i4/2217590670593/O1CN01TMbQMR1GFdsWfnQtb_!!2217590670593.jpg</t>
        </is>
      </c>
      <c r="J196" s="7" t="inlineStr">
        <is>
          <t>http://item.taobao.com/item.htm?id=854393159870</t>
        </is>
      </c>
    </row>
    <row r="197" ht="17" customHeight="1">
      <c r="A197" s="8" t="n">
        <v>194</v>
      </c>
      <c r="B197" s="8" t="inlineStr">
        <is>
          <t>TNW-1022-紫S</t>
        </is>
      </c>
      <c r="C197" s="8" t="inlineStr">
        <is>
          <t>TNW-1022</t>
        </is>
      </c>
      <c r="D197" s="9" t="inlineStr">
        <is>
          <t>扭捏 原创碎花90白鹅绒服 浅紫色蓝色双面穿 面包羽绒服保暖外套</t>
        </is>
      </c>
      <c r="E197" s="9" t="inlineStr">
        <is>
          <t>紫色碎花90白鹅绒服</t>
        </is>
      </c>
      <c r="F197" s="8" t="inlineStr">
        <is>
          <t>S</t>
        </is>
      </c>
      <c r="G197" s="10" t="n">
        <v>1699</v>
      </c>
      <c r="H197" s="8" t="n">
        <v>13</v>
      </c>
      <c r="I197" s="11" t="inlineStr">
        <is>
          <t>https://img.alicdn.com/bao/uploaded/i4/2217590670593/O1CN01TMbQMR1GFdsWfnQtb_!!2217590670593.jpg</t>
        </is>
      </c>
      <c r="J197" s="11" t="inlineStr">
        <is>
          <t>http://item.taobao.com/item.htm?id=854393159870</t>
        </is>
      </c>
    </row>
    <row r="198" ht="17" customHeight="1">
      <c r="A198" s="4" t="n">
        <v>195</v>
      </c>
      <c r="B198" s="4" t="inlineStr">
        <is>
          <t>TNW-0907-M</t>
        </is>
      </c>
      <c r="C198" s="4" t="inlineStr">
        <is>
          <t>TNW-0907</t>
        </is>
      </c>
      <c r="D198" s="5" t="inlineStr">
        <is>
          <t>扭捏 NIU NIE 紫色贴布刺绣毛巾布 碎花两面穿加厚外套 原创设计</t>
        </is>
      </c>
      <c r="E198" s="5" t="inlineStr">
        <is>
          <t>紫色碎花两面穿卫衣</t>
        </is>
      </c>
      <c r="F198" s="4" t="inlineStr">
        <is>
          <t>M</t>
        </is>
      </c>
      <c r="G198" s="6" t="n">
        <v>549</v>
      </c>
      <c r="H198" s="4" t="n">
        <v>19</v>
      </c>
      <c r="I198" s="7" t="inlineStr">
        <is>
          <t>https://img.alicdn.com/bao/uploaded/i2/2217590670593/O1CN01zQJ1mq1GFdsR9pKki_!!2217590670593.jpg</t>
        </is>
      </c>
      <c r="J198" s="7" t="inlineStr">
        <is>
          <t>http://item.taobao.com/item.htm?id=853107301007</t>
        </is>
      </c>
    </row>
    <row r="199" ht="17" customHeight="1">
      <c r="A199" s="8" t="n">
        <v>196</v>
      </c>
      <c r="B199" s="8" t="inlineStr">
        <is>
          <t>TNW-0907-S</t>
        </is>
      </c>
      <c r="C199" s="8" t="inlineStr">
        <is>
          <t>TNW-0907</t>
        </is>
      </c>
      <c r="D199" s="9" t="inlineStr">
        <is>
          <t>扭捏 NIU NIE 紫色贴布刺绣毛巾布 碎花两面穿加厚外套 原创设计</t>
        </is>
      </c>
      <c r="E199" s="9" t="inlineStr">
        <is>
          <t>紫色碎花两面穿卫衣</t>
        </is>
      </c>
      <c r="F199" s="8" t="inlineStr">
        <is>
          <t>S</t>
        </is>
      </c>
      <c r="G199" s="10" t="n">
        <v>549</v>
      </c>
      <c r="H199" s="8" t="n">
        <v>15</v>
      </c>
      <c r="I199" s="11" t="inlineStr">
        <is>
          <t>https://img.alicdn.com/bao/uploaded/i2/2217590670593/O1CN01zQJ1mq1GFdsR9pKki_!!2217590670593.jpg</t>
        </is>
      </c>
      <c r="J199" s="11" t="inlineStr">
        <is>
          <t>http://item.taobao.com/item.htm?id=853107301007</t>
        </is>
      </c>
    </row>
    <row r="200" ht="17" customHeight="1">
      <c r="A200" s="4" t="n">
        <v>197</v>
      </c>
      <c r="B200" s="4" t="inlineStr">
        <is>
          <t>TNW-1011-棕M</t>
        </is>
      </c>
      <c r="C200" s="4" t="inlineStr">
        <is>
          <t>TNW-0918-1011</t>
        </is>
      </c>
      <c r="D200" s="5" t="inlineStr">
        <is>
          <t>扭捏 「我只想睡觉」原创印花双层圆领毛巾料卫衣睡衣长裤 家居服</t>
        </is>
      </c>
      <c r="E200" s="5" t="inlineStr">
        <is>
          <t>棕色毛巾长裤</t>
        </is>
      </c>
      <c r="F200" s="4" t="inlineStr">
        <is>
          <t>M</t>
        </is>
      </c>
      <c r="G200" s="6" t="n">
        <v>269</v>
      </c>
      <c r="H200" s="4" t="n">
        <v>18</v>
      </c>
      <c r="I200" s="7" t="inlineStr">
        <is>
          <t>https://img.alicdn.com/bao/uploaded/i4/2217590670593/O1CN01AAJFUG1GFdsWvNuBg_!!2217590670593.jpg</t>
        </is>
      </c>
      <c r="J200" s="7" t="inlineStr">
        <is>
          <t>http://item.taobao.com/item.htm?id=852645919685</t>
        </is>
      </c>
    </row>
    <row r="201" ht="17" customHeight="1">
      <c r="A201" s="8" t="n">
        <v>198</v>
      </c>
      <c r="B201" s="8" t="inlineStr">
        <is>
          <t>TNW-1011-棕S</t>
        </is>
      </c>
      <c r="C201" s="8" t="inlineStr">
        <is>
          <t>TNW-0918-1011</t>
        </is>
      </c>
      <c r="D201" s="9" t="inlineStr">
        <is>
          <t>扭捏 「我只想睡觉」原创印花双层圆领毛巾料卫衣睡衣长裤 家居服</t>
        </is>
      </c>
      <c r="E201" s="9" t="inlineStr">
        <is>
          <t>棕色毛巾长裤</t>
        </is>
      </c>
      <c r="F201" s="8" t="inlineStr">
        <is>
          <t>S</t>
        </is>
      </c>
      <c r="G201" s="10" t="n">
        <v>269</v>
      </c>
      <c r="H201" s="8" t="n">
        <v>15</v>
      </c>
      <c r="I201" s="11" t="inlineStr">
        <is>
          <t>https://img.alicdn.com/bao/uploaded/i4/2217590670593/O1CN01AAJFUG1GFdsWvNuBg_!!2217590670593.jpg</t>
        </is>
      </c>
      <c r="J201" s="11" t="inlineStr">
        <is>
          <t>http://item.taobao.com/item.htm?id=852645919685</t>
        </is>
      </c>
    </row>
    <row r="202" ht="17" customHeight="1">
      <c r="A202" s="4" t="n">
        <v>199</v>
      </c>
      <c r="B202" s="4" t="inlineStr">
        <is>
          <t>TNW-0918-M</t>
        </is>
      </c>
      <c r="C202" s="4" t="inlineStr">
        <is>
          <t>TNW-0918-1011</t>
        </is>
      </c>
      <c r="D202" s="5" t="inlineStr">
        <is>
          <t>扭捏 「我只想睡觉」原创印花双层圆领毛巾料卫衣睡衣长裤 家居服</t>
        </is>
      </c>
      <c r="E202" s="5" t="inlineStr">
        <is>
          <t>双层圆领卫衣</t>
        </is>
      </c>
      <c r="F202" s="4" t="inlineStr">
        <is>
          <t>M</t>
        </is>
      </c>
      <c r="G202" s="6" t="n">
        <v>299</v>
      </c>
      <c r="H202" s="4" t="n">
        <v>7</v>
      </c>
      <c r="I202" s="7" t="inlineStr">
        <is>
          <t>https://img.alicdn.com/bao/uploaded/i1/2217590670593/O1CN01VrgIYe1GFdsR4FvaG_!!2217590670593.jpg</t>
        </is>
      </c>
      <c r="J202" s="7" t="inlineStr">
        <is>
          <t>http://item.taobao.com/item.htm?id=852645919685</t>
        </is>
      </c>
    </row>
    <row r="203" ht="17" customHeight="1">
      <c r="A203" s="8" t="n">
        <v>200</v>
      </c>
      <c r="B203" s="8" t="inlineStr">
        <is>
          <t>TNW-0918-S</t>
        </is>
      </c>
      <c r="C203" s="8" t="inlineStr">
        <is>
          <t>TNW-0918-1011</t>
        </is>
      </c>
      <c r="D203" s="9" t="inlineStr">
        <is>
          <t>扭捏 「我只想睡觉」原创印花双层圆领毛巾料卫衣睡衣长裤 家居服</t>
        </is>
      </c>
      <c r="E203" s="9" t="inlineStr">
        <is>
          <t>双层圆领卫衣</t>
        </is>
      </c>
      <c r="F203" s="8" t="inlineStr">
        <is>
          <t>S</t>
        </is>
      </c>
      <c r="G203" s="10" t="n">
        <v>299</v>
      </c>
      <c r="H203" s="8" t="n">
        <v>11</v>
      </c>
      <c r="I203" s="11" t="inlineStr">
        <is>
          <t>https://img.alicdn.com/bao/uploaded/i1/2217590670593/O1CN01VrgIYe1GFdsR4FvaG_!!2217590670593.jpg</t>
        </is>
      </c>
      <c r="J203" s="11" t="inlineStr">
        <is>
          <t>http://item.taobao.com/item.htm?id=852645919685</t>
        </is>
      </c>
    </row>
    <row r="204" ht="17" customHeight="1">
      <c r="A204" s="4" t="n">
        <v>201</v>
      </c>
      <c r="B204" s="4" t="inlineStr">
        <is>
          <t>TNW-0915-M</t>
        </is>
      </c>
      <c r="C204" s="4" t="inlineStr">
        <is>
          <t>TNW-0802-0915</t>
        </is>
      </c>
      <c r="D204" s="5" t="inlineStr">
        <is>
          <t>扭捏原创 澳洲进口美利奴羊毛 缩绒工艺 撞色拼接衬衫上衣 花苞裙</t>
        </is>
      </c>
      <c r="E204" s="5" t="inlineStr">
        <is>
          <t>浅绿色花苞裙</t>
        </is>
      </c>
      <c r="F204" s="4" t="inlineStr">
        <is>
          <t>M</t>
        </is>
      </c>
      <c r="G204" s="6" t="n">
        <v>499</v>
      </c>
      <c r="H204" s="4" t="n">
        <v>3</v>
      </c>
      <c r="I204" s="7" t="inlineStr">
        <is>
          <t>https://img.alicdn.com/bao/uploaded/i2/2217590670593/O1CN01X6xBrX1GFdsR7bNEl_!!2217590670593.jpg</t>
        </is>
      </c>
      <c r="J204" s="7" t="inlineStr">
        <is>
          <t>http://item.taobao.com/item.htm?id=852786662148</t>
        </is>
      </c>
    </row>
    <row r="205" ht="17" customHeight="1">
      <c r="A205" s="8" t="n">
        <v>202</v>
      </c>
      <c r="B205" s="8" t="inlineStr">
        <is>
          <t>TNW-0915-S</t>
        </is>
      </c>
      <c r="C205" s="8" t="inlineStr">
        <is>
          <t>TNW-0802-0915</t>
        </is>
      </c>
      <c r="D205" s="9" t="inlineStr">
        <is>
          <t>扭捏原创 澳洲进口美利奴羊毛 缩绒工艺 撞色拼接衬衫上衣 花苞裙</t>
        </is>
      </c>
      <c r="E205" s="9" t="inlineStr">
        <is>
          <t>浅绿色花苞裙</t>
        </is>
      </c>
      <c r="F205" s="8" t="inlineStr">
        <is>
          <t>S</t>
        </is>
      </c>
      <c r="G205" s="10" t="n">
        <v>499</v>
      </c>
      <c r="H205" s="8" t="n">
        <v>3</v>
      </c>
      <c r="I205" s="11" t="inlineStr">
        <is>
          <t>https://img.alicdn.com/bao/uploaded/i2/2217590670593/O1CN01X6xBrX1GFdsR7bNEl_!!2217590670593.jpg</t>
        </is>
      </c>
      <c r="J205" s="11" t="inlineStr">
        <is>
          <t>http://item.taobao.com/item.htm?id=852786662148</t>
        </is>
      </c>
    </row>
    <row r="206" ht="17" customHeight="1">
      <c r="A206" s="4" t="n">
        <v>203</v>
      </c>
      <c r="B206" s="4" t="inlineStr">
        <is>
          <t>TNW-0802-M</t>
        </is>
      </c>
      <c r="C206" s="4" t="inlineStr">
        <is>
          <t>TNW-0802-0915</t>
        </is>
      </c>
      <c r="D206" s="5" t="inlineStr">
        <is>
          <t>扭捏原创 澳洲进口美利奴羊毛 缩绒工艺 撞色拼接衬衫上衣 花苞裙</t>
        </is>
      </c>
      <c r="E206" s="5" t="inlineStr">
        <is>
          <t>撞色拼接衬衫</t>
        </is>
      </c>
      <c r="F206" s="4" t="inlineStr">
        <is>
          <t>M</t>
        </is>
      </c>
      <c r="G206" s="6" t="n">
        <v>529</v>
      </c>
      <c r="H206" s="4" t="n">
        <v>3</v>
      </c>
      <c r="I206" s="7" t="inlineStr">
        <is>
          <t>https://img.alicdn.com/bao/uploaded/i1/2217590670593/O1CN01HCiENH1GFdsOxzxVR_!!2217590670593.jpg</t>
        </is>
      </c>
      <c r="J206" s="7" t="inlineStr">
        <is>
          <t>http://item.taobao.com/item.htm?id=852786662148</t>
        </is>
      </c>
    </row>
    <row r="207" ht="17" customHeight="1">
      <c r="A207" s="8" t="n">
        <v>204</v>
      </c>
      <c r="B207" s="8" t="inlineStr">
        <is>
          <t>TNW-0802-S</t>
        </is>
      </c>
      <c r="C207" s="8" t="inlineStr">
        <is>
          <t>TNW-0802-0915</t>
        </is>
      </c>
      <c r="D207" s="9" t="inlineStr">
        <is>
          <t>扭捏原创 澳洲进口美利奴羊毛 缩绒工艺 撞色拼接衬衫上衣 花苞裙</t>
        </is>
      </c>
      <c r="E207" s="9" t="inlineStr">
        <is>
          <t>撞色拼接衬衫</t>
        </is>
      </c>
      <c r="F207" s="8" t="inlineStr">
        <is>
          <t>S</t>
        </is>
      </c>
      <c r="G207" s="10" t="n">
        <v>529</v>
      </c>
      <c r="H207" s="8" t="n">
        <v>7</v>
      </c>
      <c r="I207" s="11" t="inlineStr">
        <is>
          <t>https://img.alicdn.com/bao/uploaded/i1/2217590670593/O1CN01HCiENH1GFdsOxzxVR_!!2217590670593.jpg</t>
        </is>
      </c>
      <c r="J207" s="11" t="inlineStr">
        <is>
          <t>http://item.taobao.com/item.htm?id=852786662148</t>
        </is>
      </c>
    </row>
    <row r="208" ht="17" customHeight="1">
      <c r="A208" s="4" t="n">
        <v>205</v>
      </c>
      <c r="B208" s="4" t="inlineStr"/>
      <c r="C208" s="4" t="inlineStr">
        <is>
          <t>NTF-0305</t>
        </is>
      </c>
      <c r="D208" s="5" t="inlineStr">
        <is>
          <t>扭捏 真丝棉混纺轻薄法式白衬衫 玫瑰花边荷叶领复古宽松长袖上衣</t>
        </is>
      </c>
      <c r="E208" s="5" t="inlineStr">
        <is>
          <t>白色花边衬衫</t>
        </is>
      </c>
      <c r="F208" s="4" t="inlineStr">
        <is>
          <t>真丝织物脆弱 请勿机洗以及大力拧干</t>
        </is>
      </c>
      <c r="G208" s="6" t="n">
        <v>428</v>
      </c>
      <c r="H208" s="12" t="n">
        <v>0</v>
      </c>
      <c r="I208" s="7" t="inlineStr">
        <is>
          <t>https://img.alicdn.com/bao/uploaded/i1/2217590670593/O1CN01KrbK0i1GFdpiapeNw_!!2217590670593.jpg</t>
        </is>
      </c>
      <c r="J208" s="7" t="inlineStr">
        <is>
          <t>http://item.taobao.com/item.htm?id=805477971905</t>
        </is>
      </c>
    </row>
    <row r="209" ht="17" customHeight="1">
      <c r="A209" s="8" t="n">
        <v>206</v>
      </c>
      <c r="B209" s="8" t="inlineStr"/>
      <c r="C209" s="8" t="inlineStr">
        <is>
          <t>NTF-0307A</t>
        </is>
      </c>
      <c r="D209" s="9" t="inlineStr">
        <is>
          <t>扭捏 可爱小猫印花蕾丝花边少女感百搭灰色圆领短袖T恤上衣</t>
        </is>
      </c>
      <c r="E209" s="9" t="inlineStr">
        <is>
          <t>白色小猫T恤</t>
        </is>
      </c>
      <c r="F209" s="8" t="inlineStr">
        <is>
          <t>L</t>
        </is>
      </c>
      <c r="G209" s="10" t="n">
        <v>198</v>
      </c>
      <c r="H209" s="8" t="n">
        <v>8</v>
      </c>
      <c r="I209" s="11" t="inlineStr">
        <is>
          <t>https://img.alicdn.com/bao/uploaded/i1/2217590670593/O1CN01SGoUtm1GFdqCuUl6x_!!2217590670593.jpg</t>
        </is>
      </c>
      <c r="J209" s="11" t="inlineStr">
        <is>
          <t>http://item.taobao.com/item.htm?id=806185410390</t>
        </is>
      </c>
    </row>
    <row r="210" ht="17" customHeight="1">
      <c r="A210" s="4" t="n">
        <v>207</v>
      </c>
      <c r="B210" s="4" t="inlineStr"/>
      <c r="C210" s="4" t="inlineStr">
        <is>
          <t>NTF-0307A</t>
        </is>
      </c>
      <c r="D210" s="5" t="inlineStr">
        <is>
          <t>扭捏 可爱小猫印花蕾丝花边少女感百搭灰色圆领短袖T恤上衣</t>
        </is>
      </c>
      <c r="E210" s="5" t="inlineStr">
        <is>
          <t>白色小猫T恤</t>
        </is>
      </c>
      <c r="F210" s="4" t="inlineStr">
        <is>
          <t>M</t>
        </is>
      </c>
      <c r="G210" s="6" t="n">
        <v>198</v>
      </c>
      <c r="H210" s="4" t="n">
        <v>5</v>
      </c>
      <c r="I210" s="7" t="inlineStr">
        <is>
          <t>https://img.alicdn.com/bao/uploaded/i1/2217590670593/O1CN01SGoUtm1GFdqCuUl6x_!!2217590670593.jpg</t>
        </is>
      </c>
      <c r="J210" s="7" t="inlineStr">
        <is>
          <t>http://item.taobao.com/item.htm?id=806185410390</t>
        </is>
      </c>
    </row>
    <row r="211" ht="17" customHeight="1">
      <c r="A211" s="8" t="n">
        <v>208</v>
      </c>
      <c r="B211" s="8" t="inlineStr"/>
      <c r="C211" s="8" t="inlineStr">
        <is>
          <t>NTF-0307A</t>
        </is>
      </c>
      <c r="D211" s="9" t="inlineStr">
        <is>
          <t>扭捏 可爱小猫印花蕾丝花边少女感百搭灰色圆领短袖T恤上衣</t>
        </is>
      </c>
      <c r="E211" s="9" t="inlineStr">
        <is>
          <t>白色小猫T恤</t>
        </is>
      </c>
      <c r="F211" s="8" t="inlineStr">
        <is>
          <t>S</t>
        </is>
      </c>
      <c r="G211" s="10" t="n">
        <v>198</v>
      </c>
      <c r="H211" s="8" t="n">
        <v>5</v>
      </c>
      <c r="I211" s="11" t="inlineStr">
        <is>
          <t>https://img.alicdn.com/bao/uploaded/i1/2217590670593/O1CN01SGoUtm1GFdqCuUl6x_!!2217590670593.jpg</t>
        </is>
      </c>
      <c r="J211" s="11" t="inlineStr">
        <is>
          <t>http://item.taobao.com/item.htm?id=806185410390</t>
        </is>
      </c>
    </row>
    <row r="212" ht="17" customHeight="1">
      <c r="A212" s="4" t="n">
        <v>209</v>
      </c>
      <c r="B212" s="4" t="inlineStr">
        <is>
          <t>NTF0351-L</t>
        </is>
      </c>
      <c r="C212" s="4" t="inlineStr">
        <is>
          <t>NTF-0511-0351</t>
        </is>
      </c>
      <c r="D212" s="5" t="inlineStr">
        <is>
          <t>扭捏 流光缎面感复古棉麻提花背心吊带星星半裙正反拼接两件套装</t>
        </is>
      </c>
      <c r="E212" s="5" t="inlineStr">
        <is>
          <t>星星拼接半裙</t>
        </is>
      </c>
      <c r="F212" s="4" t="inlineStr">
        <is>
          <t>L</t>
        </is>
      </c>
      <c r="G212" s="6" t="n">
        <v>338</v>
      </c>
      <c r="H212" s="12" t="n">
        <v>0</v>
      </c>
      <c r="I212" s="7" t="inlineStr">
        <is>
          <t>https://img.alicdn.com/bao/uploaded/i4/2217590670593/O1CN01NVLkKm1GFdqCCXdK9_!!2217590670593.jpg</t>
        </is>
      </c>
      <c r="J212" s="7" t="inlineStr">
        <is>
          <t>http://item.taobao.com/item.htm?id=811109161875</t>
        </is>
      </c>
    </row>
    <row r="213" ht="17" customHeight="1">
      <c r="A213" s="8" t="n">
        <v>210</v>
      </c>
      <c r="B213" s="8" t="inlineStr">
        <is>
          <t>NTF0511-L</t>
        </is>
      </c>
      <c r="C213" s="8" t="inlineStr">
        <is>
          <t>NTF-0511-0351</t>
        </is>
      </c>
      <c r="D213" s="9" t="inlineStr">
        <is>
          <t>扭捏 流光缎面感复古棉麻提花背心吊带星星半裙正反拼接两件套装</t>
        </is>
      </c>
      <c r="E213" s="9" t="inlineStr">
        <is>
          <t>星星吊带</t>
        </is>
      </c>
      <c r="F213" s="8" t="inlineStr">
        <is>
          <t>L</t>
        </is>
      </c>
      <c r="G213" s="10" t="n">
        <v>278</v>
      </c>
      <c r="H213" s="8" t="n">
        <v>5</v>
      </c>
      <c r="I213" s="11" t="inlineStr">
        <is>
          <t>https://img.alicdn.com/bao/uploaded/i2/2217590670593/O1CN01bqDp0B1GFdqA7ygJp_!!2217590670593.jpg</t>
        </is>
      </c>
      <c r="J213" s="11" t="inlineStr">
        <is>
          <t>http://item.taobao.com/item.htm?id=811109161875</t>
        </is>
      </c>
    </row>
    <row r="214" ht="17" customHeight="1">
      <c r="A214" s="4" t="n">
        <v>211</v>
      </c>
      <c r="B214" s="4" t="inlineStr">
        <is>
          <t>NTF0351-M</t>
        </is>
      </c>
      <c r="C214" s="4" t="inlineStr">
        <is>
          <t>NTF-0511-0351</t>
        </is>
      </c>
      <c r="D214" s="5" t="inlineStr">
        <is>
          <t>扭捏 流光缎面感复古棉麻提花背心吊带星星半裙正反拼接两件套装</t>
        </is>
      </c>
      <c r="E214" s="5" t="inlineStr">
        <is>
          <t>星星拼接半裙</t>
        </is>
      </c>
      <c r="F214" s="4" t="inlineStr">
        <is>
          <t>M</t>
        </is>
      </c>
      <c r="G214" s="6" t="n">
        <v>338</v>
      </c>
      <c r="H214" s="4" t="n">
        <v>17</v>
      </c>
      <c r="I214" s="7" t="inlineStr">
        <is>
          <t>https://img.alicdn.com/bao/uploaded/i4/2217590670593/O1CN01NVLkKm1GFdqCCXdK9_!!2217590670593.jpg</t>
        </is>
      </c>
      <c r="J214" s="7" t="inlineStr">
        <is>
          <t>http://item.taobao.com/item.htm?id=811109161875</t>
        </is>
      </c>
    </row>
    <row r="215" ht="17" customHeight="1">
      <c r="A215" s="8" t="n">
        <v>212</v>
      </c>
      <c r="B215" s="8" t="inlineStr">
        <is>
          <t>NTF0351-S</t>
        </is>
      </c>
      <c r="C215" s="8" t="inlineStr">
        <is>
          <t>NTF-0511-0351</t>
        </is>
      </c>
      <c r="D215" s="9" t="inlineStr">
        <is>
          <t>扭捏 流光缎面感复古棉麻提花背心吊带星星半裙正反拼接两件套装</t>
        </is>
      </c>
      <c r="E215" s="9" t="inlineStr">
        <is>
          <t>星星拼接半裙</t>
        </is>
      </c>
      <c r="F215" s="8" t="inlineStr">
        <is>
          <t>S</t>
        </is>
      </c>
      <c r="G215" s="10" t="n">
        <v>338</v>
      </c>
      <c r="H215" s="8" t="n">
        <v>12</v>
      </c>
      <c r="I215" s="11" t="inlineStr">
        <is>
          <t>https://img.alicdn.com/bao/uploaded/i4/2217590670593/O1CN01NVLkKm1GFdqCCXdK9_!!2217590670593.jpg</t>
        </is>
      </c>
      <c r="J215" s="11" t="inlineStr">
        <is>
          <t>http://item.taobao.com/item.htm?id=811109161875</t>
        </is>
      </c>
    </row>
    <row r="216" ht="17" customHeight="1">
      <c r="A216" s="4" t="n">
        <v>213</v>
      </c>
      <c r="B216" s="4" t="inlineStr">
        <is>
          <t>NTF0511-M</t>
        </is>
      </c>
      <c r="C216" s="4" t="inlineStr">
        <is>
          <t>NTF-0511-0351</t>
        </is>
      </c>
      <c r="D216" s="5" t="inlineStr">
        <is>
          <t>扭捏 流光缎面感复古棉麻提花背心吊带星星半裙正反拼接两件套装</t>
        </is>
      </c>
      <c r="E216" s="5" t="inlineStr">
        <is>
          <t>星星吊带</t>
        </is>
      </c>
      <c r="F216" s="4" t="inlineStr">
        <is>
          <t>M</t>
        </is>
      </c>
      <c r="G216" s="6" t="n">
        <v>278</v>
      </c>
      <c r="H216" s="4" t="n">
        <v>17</v>
      </c>
      <c r="I216" s="7" t="inlineStr">
        <is>
          <t>https://img.alicdn.com/bao/uploaded/i2/2217590670593/O1CN01bqDp0B1GFdqA7ygJp_!!2217590670593.jpg</t>
        </is>
      </c>
      <c r="J216" s="7" t="inlineStr">
        <is>
          <t>http://item.taobao.com/item.htm?id=811109161875</t>
        </is>
      </c>
    </row>
    <row r="217" ht="17" customHeight="1">
      <c r="A217" s="8" t="n">
        <v>214</v>
      </c>
      <c r="B217" s="8" t="inlineStr">
        <is>
          <t>NTF0511-S</t>
        </is>
      </c>
      <c r="C217" s="8" t="inlineStr">
        <is>
          <t>NTF-0511-0351</t>
        </is>
      </c>
      <c r="D217" s="9" t="inlineStr">
        <is>
          <t>扭捏 流光缎面感复古棉麻提花背心吊带星星半裙正反拼接两件套装</t>
        </is>
      </c>
      <c r="E217" s="9" t="inlineStr">
        <is>
          <t>星星吊带</t>
        </is>
      </c>
      <c r="F217" s="8" t="inlineStr">
        <is>
          <t>S</t>
        </is>
      </c>
      <c r="G217" s="10" t="n">
        <v>278</v>
      </c>
      <c r="H217" s="8" t="n">
        <v>7</v>
      </c>
      <c r="I217" s="11" t="inlineStr">
        <is>
          <t>https://img.alicdn.com/bao/uploaded/i2/2217590670593/O1CN01bqDp0B1GFdqA7ygJp_!!2217590670593.jpg</t>
        </is>
      </c>
      <c r="J217" s="11" t="inlineStr">
        <is>
          <t>http://item.taobao.com/item.htm?id=811109161875</t>
        </is>
      </c>
    </row>
    <row r="218" ht="17" customHeight="1">
      <c r="A218" s="4" t="n">
        <v>215</v>
      </c>
      <c r="B218" s="4" t="inlineStr">
        <is>
          <t>NTF0303-L</t>
        </is>
      </c>
      <c r="C218" s="4" t="inlineStr">
        <is>
          <t>NTF-0303</t>
        </is>
      </c>
      <c r="D218" s="5" t="inlineStr">
        <is>
          <t>扭捏 草裙舞女孩 / 小众设计夏威夷感度假风松紧腰沙滩印花半身裙</t>
        </is>
      </c>
      <c r="E218" s="5" t="inlineStr">
        <is>
          <t>夏威夷沙滩裙</t>
        </is>
      </c>
      <c r="F218" s="4" t="inlineStr">
        <is>
          <t>L</t>
        </is>
      </c>
      <c r="G218" s="6" t="n">
        <v>298</v>
      </c>
      <c r="H218" s="12" t="n">
        <v>0</v>
      </c>
      <c r="I218" s="7" t="inlineStr">
        <is>
          <t>https://img.alicdn.com/bao/uploaded/i1/2217590670593/O1CN01le57m01GFdpiT0H0Y_!!2217590670593.jpg</t>
        </is>
      </c>
      <c r="J218" s="7" t="inlineStr">
        <is>
          <t>http://item.taobao.com/item.htm?id=806198870406</t>
        </is>
      </c>
    </row>
    <row r="219" ht="17" customHeight="1">
      <c r="A219" s="8" t="n">
        <v>216</v>
      </c>
      <c r="B219" s="8" t="inlineStr"/>
      <c r="C219" s="8" t="inlineStr">
        <is>
          <t>787851413611</t>
        </is>
      </c>
      <c r="D219" s="9" t="inlineStr">
        <is>
          <t>万能链接</t>
        </is>
      </c>
      <c r="E219" s="9" t="inlineStr"/>
      <c r="F219" s="8" t="inlineStr"/>
      <c r="G219" s="10" t="n">
        <v>10</v>
      </c>
      <c r="H219" s="12" t="n">
        <v>0</v>
      </c>
      <c r="I219" s="11" t="inlineStr">
        <is>
          <t>https://img.alicdn.com/bao/uploaded/i4/2217590670593/O1CN016fOdoC1GFdomtkiPS_!!2217590670593.jpg</t>
        </is>
      </c>
      <c r="J219" s="11" t="inlineStr">
        <is>
          <t>http://item.taobao.com/item.htm?id=787851413611</t>
        </is>
      </c>
    </row>
    <row r="220" ht="17" customHeight="1">
      <c r="A220" s="4" t="n">
        <v>217</v>
      </c>
      <c r="B220" s="4" t="inlineStr">
        <is>
          <t>NTF0501A-L</t>
        </is>
      </c>
      <c r="C220" s="4" t="inlineStr">
        <is>
          <t>NTF-0501A</t>
        </is>
      </c>
      <c r="D220" s="5" t="inlineStr">
        <is>
          <t>扭捏 拼接玫瑰法式蕾丝裙蝴蝶结绑带松紧腰 白色一片式a字半身裙</t>
        </is>
      </c>
      <c r="E220" s="5" t="inlineStr">
        <is>
          <t>白色刺绣一片式半裙</t>
        </is>
      </c>
      <c r="F220" s="4" t="inlineStr">
        <is>
          <t>L</t>
        </is>
      </c>
      <c r="G220" s="6" t="n">
        <v>368</v>
      </c>
      <c r="H220" s="12" t="n">
        <v>0</v>
      </c>
      <c r="I220" s="7" t="inlineStr">
        <is>
          <t>https://img.alicdn.com/bao/uploaded/i2/2217590670593/O1CN01TqSozO1GFdpkJcGB8_!!2217590670593.jpg</t>
        </is>
      </c>
      <c r="J220" s="7" t="inlineStr">
        <is>
          <t>http://item.taobao.com/item.htm?id=805243995791</t>
        </is>
      </c>
    </row>
    <row r="221" ht="17" customHeight="1">
      <c r="A221" s="8" t="n">
        <v>218</v>
      </c>
      <c r="B221" s="8" t="inlineStr">
        <is>
          <t>NTF0310-L</t>
        </is>
      </c>
      <c r="C221" s="8" t="inlineStr">
        <is>
          <t>NTF-0310</t>
        </is>
      </c>
      <c r="D221" s="9" t="inlineStr">
        <is>
          <t>扭捏 原创设计立体植绒提花兔子吃蘑菇拼接半身裙 宽松显瘦百褶裙</t>
        </is>
      </c>
      <c r="E221" s="9" t="inlineStr">
        <is>
          <t>兔子蘑菇拼接裙</t>
        </is>
      </c>
      <c r="F221" s="8" t="inlineStr">
        <is>
          <t>L</t>
        </is>
      </c>
      <c r="G221" s="10" t="n">
        <v>398</v>
      </c>
      <c r="H221" s="12" t="n">
        <v>0</v>
      </c>
      <c r="I221" s="11" t="inlineStr">
        <is>
          <t>https://img.alicdn.com/bao/uploaded/i4/2217590670593/O1CN01cBHR1y1GFdpiMitRJ_!!2217590670593.jpg</t>
        </is>
      </c>
      <c r="J221" s="11" t="inlineStr">
        <is>
          <t>http://item.taobao.com/item.htm?id=807543226697</t>
        </is>
      </c>
    </row>
    <row r="222" ht="17" customHeight="1">
      <c r="A222" s="4" t="n">
        <v>219</v>
      </c>
      <c r="B222" s="4" t="inlineStr">
        <is>
          <t>NTF0310-M</t>
        </is>
      </c>
      <c r="C222" s="4" t="inlineStr">
        <is>
          <t>NTF-0310</t>
        </is>
      </c>
      <c r="D222" s="5" t="inlineStr">
        <is>
          <t>扭捏 原创设计立体植绒提花兔子吃蘑菇拼接半身裙 宽松显瘦百褶裙</t>
        </is>
      </c>
      <c r="E222" s="5" t="inlineStr">
        <is>
          <t>兔子蘑菇拼接裙</t>
        </is>
      </c>
      <c r="F222" s="4" t="inlineStr">
        <is>
          <t>M</t>
        </is>
      </c>
      <c r="G222" s="6" t="n">
        <v>398</v>
      </c>
      <c r="H222" s="4" t="n">
        <v>10</v>
      </c>
      <c r="I222" s="7" t="inlineStr">
        <is>
          <t>https://img.alicdn.com/bao/uploaded/i4/2217590670593/O1CN01cBHR1y1GFdpiMitRJ_!!2217590670593.jpg</t>
        </is>
      </c>
      <c r="J222" s="7" t="inlineStr">
        <is>
          <t>http://item.taobao.com/item.htm?id=807543226697</t>
        </is>
      </c>
    </row>
    <row r="223" ht="17" customHeight="1">
      <c r="A223" s="8" t="n">
        <v>220</v>
      </c>
      <c r="B223" s="8" t="inlineStr">
        <is>
          <t>NTF0310-S</t>
        </is>
      </c>
      <c r="C223" s="8" t="inlineStr">
        <is>
          <t>NTF-0310</t>
        </is>
      </c>
      <c r="D223" s="9" t="inlineStr">
        <is>
          <t>扭捏 原创设计立体植绒提花兔子吃蘑菇拼接半身裙 宽松显瘦百褶裙</t>
        </is>
      </c>
      <c r="E223" s="9" t="inlineStr">
        <is>
          <t>兔子蘑菇拼接裙</t>
        </is>
      </c>
      <c r="F223" s="8" t="inlineStr">
        <is>
          <t>S</t>
        </is>
      </c>
      <c r="G223" s="10" t="n">
        <v>398</v>
      </c>
      <c r="H223" s="8" t="n">
        <v>1</v>
      </c>
      <c r="I223" s="11" t="inlineStr">
        <is>
          <t>https://img.alicdn.com/bao/uploaded/i4/2217590670593/O1CN01cBHR1y1GFdpiMitRJ_!!2217590670593.jpg</t>
        </is>
      </c>
      <c r="J223" s="11" t="inlineStr">
        <is>
          <t>http://item.taobao.com/item.htm?id=807543226697</t>
        </is>
      </c>
    </row>
    <row r="224" ht="17" customHeight="1">
      <c r="A224" s="4" t="n">
        <v>221</v>
      </c>
      <c r="B224" s="4" t="inlineStr">
        <is>
          <t>NTF0317W-L</t>
        </is>
      </c>
      <c r="C224" s="4" t="inlineStr">
        <is>
          <t>NTF-0317</t>
        </is>
      </c>
      <c r="D224" s="5" t="inlineStr">
        <is>
          <t>扭捏 原创设计刺绣芭蕾风蓬蓬感宽松休闲裤 甜美白色褶皱花苞短裤</t>
        </is>
      </c>
      <c r="E224" s="5" t="inlineStr">
        <is>
          <t>刺绣花苞短裤</t>
        </is>
      </c>
      <c r="F224" s="4" t="inlineStr">
        <is>
          <t>L</t>
        </is>
      </c>
      <c r="G224" s="6" t="n">
        <v>268</v>
      </c>
      <c r="H224" s="12" t="n">
        <v>0</v>
      </c>
      <c r="I224" s="7" t="inlineStr">
        <is>
          <t>https://img.alicdn.com/bao/uploaded/i3/2217590670593/O1CN01dmT3Ke1GFdpjQwVcR_!!2217590670593.jpg</t>
        </is>
      </c>
      <c r="J224" s="7" t="inlineStr">
        <is>
          <t>http://item.taobao.com/item.htm?id=805832349126</t>
        </is>
      </c>
    </row>
    <row r="225" ht="17" customHeight="1">
      <c r="A225" s="8" t="n">
        <v>222</v>
      </c>
      <c r="B225" s="8" t="inlineStr">
        <is>
          <t>NTF0317W-M</t>
        </is>
      </c>
      <c r="C225" s="8" t="inlineStr">
        <is>
          <t>NTF-0317</t>
        </is>
      </c>
      <c r="D225" s="9" t="inlineStr">
        <is>
          <t>扭捏 原创设计刺绣芭蕾风蓬蓬感宽松休闲裤 甜美白色褶皱花苞短裤</t>
        </is>
      </c>
      <c r="E225" s="9" t="inlineStr">
        <is>
          <t>刺绣花苞短裤</t>
        </is>
      </c>
      <c r="F225" s="8" t="inlineStr">
        <is>
          <t>M</t>
        </is>
      </c>
      <c r="G225" s="10" t="n">
        <v>268</v>
      </c>
      <c r="H225" s="8" t="n">
        <v>8</v>
      </c>
      <c r="I225" s="11" t="inlineStr">
        <is>
          <t>https://img.alicdn.com/bao/uploaded/i3/2217590670593/O1CN01dmT3Ke1GFdpjQwVcR_!!2217590670593.jpg</t>
        </is>
      </c>
      <c r="J225" s="11" t="inlineStr">
        <is>
          <t>http://item.taobao.com/item.htm?id=805832349126</t>
        </is>
      </c>
    </row>
    <row r="226" ht="17" customHeight="1">
      <c r="A226" s="4" t="n">
        <v>223</v>
      </c>
      <c r="B226" s="4" t="inlineStr">
        <is>
          <t>NTF0317W-S</t>
        </is>
      </c>
      <c r="C226" s="4" t="inlineStr">
        <is>
          <t>NTF-0317</t>
        </is>
      </c>
      <c r="D226" s="5" t="inlineStr">
        <is>
          <t>扭捏 原创设计刺绣芭蕾风蓬蓬感宽松休闲裤 甜美白色褶皱花苞短裤</t>
        </is>
      </c>
      <c r="E226" s="5" t="inlineStr">
        <is>
          <t>刺绣花苞短裤</t>
        </is>
      </c>
      <c r="F226" s="4" t="inlineStr">
        <is>
          <t>S</t>
        </is>
      </c>
      <c r="G226" s="6" t="n">
        <v>268</v>
      </c>
      <c r="H226" s="4" t="n">
        <v>14</v>
      </c>
      <c r="I226" s="7" t="inlineStr">
        <is>
          <t>https://img.alicdn.com/bao/uploaded/i3/2217590670593/O1CN01dmT3Ke1GFdpjQwVcR_!!2217590670593.jpg</t>
        </is>
      </c>
      <c r="J226" s="7" t="inlineStr">
        <is>
          <t>http://item.taobao.com/item.htm?id=805832349126</t>
        </is>
      </c>
    </row>
    <row r="227" ht="17" customHeight="1">
      <c r="A227" s="8" t="n">
        <v>224</v>
      </c>
      <c r="B227" s="8" t="inlineStr">
        <is>
          <t>NTF0501A-M</t>
        </is>
      </c>
      <c r="C227" s="8" t="inlineStr">
        <is>
          <t>NTF-0501A</t>
        </is>
      </c>
      <c r="D227" s="9" t="inlineStr">
        <is>
          <t>扭捏 拼接玫瑰法式蕾丝裙蝴蝶结绑带松紧腰 白色一片式a字半身裙</t>
        </is>
      </c>
      <c r="E227" s="9" t="inlineStr">
        <is>
          <t>白色刺绣一片式半裙</t>
        </is>
      </c>
      <c r="F227" s="8" t="inlineStr">
        <is>
          <t>M</t>
        </is>
      </c>
      <c r="G227" s="10" t="n">
        <v>368</v>
      </c>
      <c r="H227" s="8" t="n">
        <v>15</v>
      </c>
      <c r="I227" s="11" t="inlineStr">
        <is>
          <t>https://img.alicdn.com/bao/uploaded/i2/2217590670593/O1CN01TqSozO1GFdpkJcGB8_!!2217590670593.jpg</t>
        </is>
      </c>
      <c r="J227" s="11" t="inlineStr">
        <is>
          <t>http://item.taobao.com/item.htm?id=805243995791</t>
        </is>
      </c>
    </row>
    <row r="228" ht="17" customHeight="1">
      <c r="A228" s="4" t="n">
        <v>225</v>
      </c>
      <c r="B228" s="4" t="inlineStr">
        <is>
          <t>NTF0501A-S</t>
        </is>
      </c>
      <c r="C228" s="4" t="inlineStr">
        <is>
          <t>NTF-0501A</t>
        </is>
      </c>
      <c r="D228" s="5" t="inlineStr">
        <is>
          <t>扭捏 拼接玫瑰法式蕾丝裙蝴蝶结绑带松紧腰 白色一片式a字半身裙</t>
        </is>
      </c>
      <c r="E228" s="5" t="inlineStr">
        <is>
          <t>白色刺绣一片式半裙</t>
        </is>
      </c>
      <c r="F228" s="4" t="inlineStr">
        <is>
          <t>S</t>
        </is>
      </c>
      <c r="G228" s="6" t="n">
        <v>368</v>
      </c>
      <c r="H228" s="4" t="n">
        <v>14</v>
      </c>
      <c r="I228" s="7" t="inlineStr">
        <is>
          <t>https://img.alicdn.com/bao/uploaded/i2/2217590670593/O1CN01TqSozO1GFdpkJcGB8_!!2217590670593.jpg</t>
        </is>
      </c>
      <c r="J228" s="7" t="inlineStr">
        <is>
          <t>http://item.taobao.com/item.htm?id=805243995791</t>
        </is>
      </c>
    </row>
    <row r="229" ht="17" customHeight="1">
      <c r="A229" s="8" t="n">
        <v>226</v>
      </c>
      <c r="B229" s="8" t="inlineStr">
        <is>
          <t>NTF0335-L</t>
        </is>
      </c>
      <c r="C229" s="8" t="inlineStr">
        <is>
          <t>NTF-0335</t>
        </is>
      </c>
      <c r="D229" s="9" t="inlineStr">
        <is>
          <t>扭捏 印花刺绣白色蕾丝多层花边半身裙可拆卸背带裙夏季 原创设计</t>
        </is>
      </c>
      <c r="E229" s="9" t="inlineStr">
        <is>
          <t>背带 半身裙</t>
        </is>
      </c>
      <c r="F229" s="8" t="inlineStr">
        <is>
          <t>L</t>
        </is>
      </c>
      <c r="G229" s="10" t="n">
        <v>518</v>
      </c>
      <c r="H229" s="12" t="n">
        <v>0</v>
      </c>
      <c r="I229" s="11" t="inlineStr">
        <is>
          <t>https://img.alicdn.com/bao/uploaded/i4/2217590670593/O1CN01zGDxqH1GFdpiW0m7P_!!2217590670593.jpg</t>
        </is>
      </c>
      <c r="J229" s="11" t="inlineStr">
        <is>
          <t>http://item.taobao.com/item.htm?id=805466991968</t>
        </is>
      </c>
    </row>
    <row r="230" ht="17" customHeight="1">
      <c r="A230" s="4" t="n">
        <v>227</v>
      </c>
      <c r="B230" s="4" t="inlineStr">
        <is>
          <t>NTF0335-M</t>
        </is>
      </c>
      <c r="C230" s="4" t="inlineStr">
        <is>
          <t>NTF-0335</t>
        </is>
      </c>
      <c r="D230" s="5" t="inlineStr">
        <is>
          <t>扭捏 印花刺绣白色蕾丝多层花边半身裙可拆卸背带裙夏季 原创设计</t>
        </is>
      </c>
      <c r="E230" s="5" t="inlineStr">
        <is>
          <t>背带 半身裙</t>
        </is>
      </c>
      <c r="F230" s="4" t="inlineStr">
        <is>
          <t>M</t>
        </is>
      </c>
      <c r="G230" s="6" t="n">
        <v>518</v>
      </c>
      <c r="H230" s="12" t="n">
        <v>0</v>
      </c>
      <c r="I230" s="7" t="inlineStr">
        <is>
          <t>https://img.alicdn.com/bao/uploaded/i4/2217590670593/O1CN01zGDxqH1GFdpiW0m7P_!!2217590670593.jpg</t>
        </is>
      </c>
      <c r="J230" s="7" t="inlineStr">
        <is>
          <t>http://item.taobao.com/item.htm?id=805466991968</t>
        </is>
      </c>
    </row>
    <row r="231" ht="17" customHeight="1">
      <c r="A231" s="8" t="n">
        <v>228</v>
      </c>
      <c r="B231" s="8" t="inlineStr">
        <is>
          <t>NTF0335-S</t>
        </is>
      </c>
      <c r="C231" s="8" t="inlineStr">
        <is>
          <t>NTF-0335</t>
        </is>
      </c>
      <c r="D231" s="9" t="inlineStr">
        <is>
          <t>扭捏 印花刺绣白色蕾丝多层花边半身裙可拆卸背带裙夏季 原创设计</t>
        </is>
      </c>
      <c r="E231" s="9" t="inlineStr">
        <is>
          <t>背带 半身裙</t>
        </is>
      </c>
      <c r="F231" s="8" t="inlineStr">
        <is>
          <t>S</t>
        </is>
      </c>
      <c r="G231" s="10" t="n">
        <v>518</v>
      </c>
      <c r="H231" s="12" t="n">
        <v>0</v>
      </c>
      <c r="I231" s="11" t="inlineStr">
        <is>
          <t>https://img.alicdn.com/bao/uploaded/i4/2217590670593/O1CN01zGDxqH1GFdpiW0m7P_!!2217590670593.jpg</t>
        </is>
      </c>
      <c r="J231" s="11" t="inlineStr">
        <is>
          <t>http://item.taobao.com/item.htm?id=805466991968</t>
        </is>
      </c>
    </row>
    <row r="232" ht="17" customHeight="1">
      <c r="A232" s="4" t="n">
        <v>229</v>
      </c>
      <c r="B232" s="4" t="inlineStr">
        <is>
          <t>NTF0303-M</t>
        </is>
      </c>
      <c r="C232" s="4" t="inlineStr">
        <is>
          <t>NTF-0303</t>
        </is>
      </c>
      <c r="D232" s="5" t="inlineStr">
        <is>
          <t>扭捏 草裙舞女孩 / 小众设计夏威夷感度假风松紧腰沙滩印花半身裙</t>
        </is>
      </c>
      <c r="E232" s="5" t="inlineStr">
        <is>
          <t>夏威夷沙滩裙</t>
        </is>
      </c>
      <c r="F232" s="4" t="inlineStr">
        <is>
          <t>M</t>
        </is>
      </c>
      <c r="G232" s="6" t="n">
        <v>298</v>
      </c>
      <c r="H232" s="4" t="n">
        <v>5</v>
      </c>
      <c r="I232" s="7" t="inlineStr">
        <is>
          <t>https://img.alicdn.com/bao/uploaded/i1/2217590670593/O1CN01le57m01GFdpiT0H0Y_!!2217590670593.jpg</t>
        </is>
      </c>
      <c r="J232" s="7" t="inlineStr">
        <is>
          <t>http://item.taobao.com/item.htm?id=806198870406</t>
        </is>
      </c>
    </row>
    <row r="233" ht="17" customHeight="1">
      <c r="A233" s="8" t="n">
        <v>230</v>
      </c>
      <c r="B233" s="8" t="inlineStr">
        <is>
          <t>NTF0303-S</t>
        </is>
      </c>
      <c r="C233" s="8" t="inlineStr">
        <is>
          <t>NTF-0303</t>
        </is>
      </c>
      <c r="D233" s="9" t="inlineStr">
        <is>
          <t>扭捏 草裙舞女孩 / 小众设计夏威夷感度假风松紧腰沙滩印花半身裙</t>
        </is>
      </c>
      <c r="E233" s="9" t="inlineStr">
        <is>
          <t>夏威夷沙滩裙</t>
        </is>
      </c>
      <c r="F233" s="8" t="inlineStr">
        <is>
          <t>S</t>
        </is>
      </c>
      <c r="G233" s="10" t="n">
        <v>298</v>
      </c>
      <c r="H233" s="8" t="n">
        <v>4</v>
      </c>
      <c r="I233" s="11" t="inlineStr">
        <is>
          <t>https://img.alicdn.com/bao/uploaded/i1/2217590670593/O1CN01le57m01GFdpiT0H0Y_!!2217590670593.jpg</t>
        </is>
      </c>
      <c r="J233" s="11" t="inlineStr">
        <is>
          <t>http://item.taobao.com/item.htm?id=806198870406</t>
        </is>
      </c>
    </row>
    <row r="234" ht="17" customHeight="1">
      <c r="A234" s="4" t="n">
        <v>231</v>
      </c>
      <c r="B234" s="4" t="inlineStr">
        <is>
          <t>NTF0315-L</t>
        </is>
      </c>
      <c r="C234" s="4" t="inlineStr">
        <is>
          <t>NTF-0315</t>
        </is>
      </c>
      <c r="D234" s="5" t="inlineStr">
        <is>
          <t>扭捏 荆棘玫瑰书本刺绣小翻领花边绑带衬衫 白色短袖上衣女夏季</t>
        </is>
      </c>
      <c r="E234" s="5" t="inlineStr">
        <is>
          <t>刺绣绑带小衫</t>
        </is>
      </c>
      <c r="F234" s="4" t="inlineStr">
        <is>
          <t>L</t>
        </is>
      </c>
      <c r="G234" s="6" t="n">
        <v>328</v>
      </c>
      <c r="H234" s="4" t="n">
        <v>2</v>
      </c>
      <c r="I234" s="7" t="inlineStr">
        <is>
          <t>https://img.alicdn.com/bao/uploaded/i4/2217590670593/O1CN01bkF0Ap1GFdpf1hF5R_!!2217590670593.jpg</t>
        </is>
      </c>
      <c r="J234" s="7" t="inlineStr">
        <is>
          <t>http://item.taobao.com/item.htm?id=805435277093</t>
        </is>
      </c>
    </row>
    <row r="235" ht="17" customHeight="1">
      <c r="A235" s="8" t="n">
        <v>232</v>
      </c>
      <c r="B235" s="8" t="inlineStr">
        <is>
          <t>NTF0315-M</t>
        </is>
      </c>
      <c r="C235" s="8" t="inlineStr">
        <is>
          <t>NTF-0315</t>
        </is>
      </c>
      <c r="D235" s="9" t="inlineStr">
        <is>
          <t>扭捏 荆棘玫瑰书本刺绣小翻领花边绑带衬衫 白色短袖上衣女夏季</t>
        </is>
      </c>
      <c r="E235" s="9" t="inlineStr">
        <is>
          <t>刺绣绑带小衫</t>
        </is>
      </c>
      <c r="F235" s="8" t="inlineStr">
        <is>
          <t>M</t>
        </is>
      </c>
      <c r="G235" s="10" t="n">
        <v>328</v>
      </c>
      <c r="H235" s="8" t="n">
        <v>2</v>
      </c>
      <c r="I235" s="11" t="inlineStr">
        <is>
          <t>https://img.alicdn.com/bao/uploaded/i4/2217590670593/O1CN01bkF0Ap1GFdpf1hF5R_!!2217590670593.jpg</t>
        </is>
      </c>
      <c r="J235" s="11" t="inlineStr">
        <is>
          <t>http://item.taobao.com/item.htm?id=805435277093</t>
        </is>
      </c>
    </row>
    <row r="236" ht="17" customHeight="1">
      <c r="A236" s="4" t="n">
        <v>233</v>
      </c>
      <c r="B236" s="4" t="inlineStr">
        <is>
          <t>NTF0315-S</t>
        </is>
      </c>
      <c r="C236" s="4" t="inlineStr">
        <is>
          <t>NTF-0315</t>
        </is>
      </c>
      <c r="D236" s="5" t="inlineStr">
        <is>
          <t>扭捏 荆棘玫瑰书本刺绣小翻领花边绑带衬衫 白色短袖上衣女夏季</t>
        </is>
      </c>
      <c r="E236" s="5" t="inlineStr">
        <is>
          <t>刺绣绑带小衫</t>
        </is>
      </c>
      <c r="F236" s="4" t="inlineStr">
        <is>
          <t>S</t>
        </is>
      </c>
      <c r="G236" s="6" t="n">
        <v>328</v>
      </c>
      <c r="H236" s="4" t="n">
        <v>2</v>
      </c>
      <c r="I236" s="7" t="inlineStr">
        <is>
          <t>https://img.alicdn.com/bao/uploaded/i4/2217590670593/O1CN01bkF0Ap1GFdpf1hF5R_!!2217590670593.jpg</t>
        </is>
      </c>
      <c r="J236" s="7" t="inlineStr">
        <is>
          <t>http://item.taobao.com/item.htm?id=805435277093</t>
        </is>
      </c>
    </row>
    <row r="237" ht="17" customHeight="1">
      <c r="A237" s="8" t="n">
        <v>234</v>
      </c>
      <c r="B237" s="8" t="inlineStr">
        <is>
          <t>NTF0301C-M</t>
        </is>
      </c>
      <c r="C237" s="8" t="inlineStr">
        <is>
          <t>NTF-0301</t>
        </is>
      </c>
      <c r="D237" s="9" t="inlineStr">
        <is>
          <t>扭捏 青苹果印花修身显瘦圆领长袖T恤女夏 弹力网纱打底衫上衣</t>
        </is>
      </c>
      <c r="E237" s="9" t="inlineStr">
        <is>
          <t>半高领青苹果网纱上衣</t>
        </is>
      </c>
      <c r="F237" s="8" t="inlineStr">
        <is>
          <t>M</t>
        </is>
      </c>
      <c r="G237" s="10" t="n">
        <v>168</v>
      </c>
      <c r="H237" s="8" t="n">
        <v>6</v>
      </c>
      <c r="I237" s="11" t="inlineStr">
        <is>
          <t>https://img.alicdn.com/bao/uploaded/i1/2217590670593/O1CN01YZUxU91GFdpiQ2eyD_!!2217590670593.jpg</t>
        </is>
      </c>
      <c r="J237" s="11" t="inlineStr">
        <is>
          <t>http://item.taobao.com/item.htm?id=805737181664</t>
        </is>
      </c>
    </row>
    <row r="238" ht="17" customHeight="1">
      <c r="A238" s="4" t="n">
        <v>235</v>
      </c>
      <c r="B238" s="4" t="inlineStr">
        <is>
          <t>NTF0301C-S</t>
        </is>
      </c>
      <c r="C238" s="4" t="inlineStr">
        <is>
          <t>NTF-0301</t>
        </is>
      </c>
      <c r="D238" s="5" t="inlineStr">
        <is>
          <t>扭捏 青苹果印花修身显瘦圆领长袖T恤女夏 弹力网纱打底衫上衣</t>
        </is>
      </c>
      <c r="E238" s="5" t="inlineStr">
        <is>
          <t>半高领青苹果网纱上衣</t>
        </is>
      </c>
      <c r="F238" s="4" t="inlineStr">
        <is>
          <t>S</t>
        </is>
      </c>
      <c r="G238" s="6" t="n">
        <v>168</v>
      </c>
      <c r="H238" s="4" t="n">
        <v>8</v>
      </c>
      <c r="I238" s="7" t="inlineStr">
        <is>
          <t>https://img.alicdn.com/bao/uploaded/i1/2217590670593/O1CN01YZUxU91GFdpiQ2eyD_!!2217590670593.jpg</t>
        </is>
      </c>
      <c r="J238" s="7" t="inlineStr">
        <is>
          <t>http://item.taobao.com/item.htm?id=805737181664</t>
        </is>
      </c>
    </row>
    <row r="239" ht="17" customHeight="1">
      <c r="A239" s="8" t="n">
        <v>236</v>
      </c>
      <c r="B239" s="8" t="inlineStr">
        <is>
          <t>NTF0301B-M</t>
        </is>
      </c>
      <c r="C239" s="8" t="inlineStr">
        <is>
          <t>NTF-0301</t>
        </is>
      </c>
      <c r="D239" s="9" t="inlineStr">
        <is>
          <t>扭捏 青苹果印花修身显瘦圆领长袖T恤女夏 弹力网纱打底衫上衣</t>
        </is>
      </c>
      <c r="E239" s="9" t="inlineStr">
        <is>
          <t>圆领青苹果网纱上衣</t>
        </is>
      </c>
      <c r="F239" s="8" t="inlineStr">
        <is>
          <t>M</t>
        </is>
      </c>
      <c r="G239" s="10" t="n">
        <v>168</v>
      </c>
      <c r="H239" s="12" t="n">
        <v>0</v>
      </c>
      <c r="I239" s="11" t="inlineStr">
        <is>
          <t>https://img.alicdn.com/bao/uploaded/i1/2217590670593/O1CN01YZUxU91GFdpiQ2eyD_!!2217590670593.jpg</t>
        </is>
      </c>
      <c r="J239" s="11" t="inlineStr">
        <is>
          <t>http://item.taobao.com/item.htm?id=805737181664</t>
        </is>
      </c>
    </row>
    <row r="240" ht="17" customHeight="1">
      <c r="A240" s="4" t="n">
        <v>237</v>
      </c>
      <c r="B240" s="4" t="inlineStr">
        <is>
          <t>NTF0301B-S</t>
        </is>
      </c>
      <c r="C240" s="4" t="inlineStr">
        <is>
          <t>NTF-0301</t>
        </is>
      </c>
      <c r="D240" s="5" t="inlineStr">
        <is>
          <t>扭捏 青苹果印花修身显瘦圆领长袖T恤女夏 弹力网纱打底衫上衣</t>
        </is>
      </c>
      <c r="E240" s="5" t="inlineStr">
        <is>
          <t>圆领青苹果网纱上衣</t>
        </is>
      </c>
      <c r="F240" s="4" t="inlineStr">
        <is>
          <t>S</t>
        </is>
      </c>
      <c r="G240" s="6" t="n">
        <v>168</v>
      </c>
      <c r="H240" s="12" t="n">
        <v>0</v>
      </c>
      <c r="I240" s="7" t="inlineStr">
        <is>
          <t>https://img.alicdn.com/bao/uploaded/i1/2217590670593/O1CN01YZUxU91GFdpiQ2eyD_!!2217590670593.jpg</t>
        </is>
      </c>
      <c r="J240" s="7" t="inlineStr">
        <is>
          <t>http://item.taobao.com/item.htm?id=805737181664</t>
        </is>
      </c>
    </row>
    <row r="241" ht="17" customHeight="1">
      <c r="A241" s="8" t="n">
        <v>238</v>
      </c>
      <c r="B241" s="8" t="inlineStr">
        <is>
          <t>NTF0506W-M</t>
        </is>
      </c>
      <c r="C241" s="8" t="inlineStr">
        <is>
          <t>NTF-0506</t>
        </is>
      </c>
      <c r="D241" s="9" t="inlineStr">
        <is>
          <t>扭捏 NIU NIE 花的心跳 原创小众设计刺绣绑带宽松法式白色衬衫</t>
        </is>
      </c>
      <c r="E241" s="9" t="inlineStr">
        <is>
          <t>白色刺绣衬衫</t>
        </is>
      </c>
      <c r="F241" s="8" t="inlineStr">
        <is>
          <t>M</t>
        </is>
      </c>
      <c r="G241" s="10" t="n">
        <v>328</v>
      </c>
      <c r="H241" s="12" t="n">
        <v>0</v>
      </c>
      <c r="I241" s="11" t="inlineStr">
        <is>
          <t>https://img.alicdn.com/bao/uploaded/i1/2217590670593/O1CN01D1mnFi1GFdpWvRMRV_!!2217590670593.jpg</t>
        </is>
      </c>
      <c r="J241" s="11" t="inlineStr">
        <is>
          <t>http://item.taobao.com/item.htm?id=805240702207</t>
        </is>
      </c>
    </row>
    <row r="242" ht="17" customHeight="1">
      <c r="A242" s="4" t="n">
        <v>239</v>
      </c>
      <c r="B242" s="4" t="inlineStr">
        <is>
          <t>NTF0506W-S</t>
        </is>
      </c>
      <c r="C242" s="4" t="inlineStr">
        <is>
          <t>NTF-0506</t>
        </is>
      </c>
      <c r="D242" s="5" t="inlineStr">
        <is>
          <t>扭捏 NIU NIE 花的心跳 原创小众设计刺绣绑带宽松法式白色衬衫</t>
        </is>
      </c>
      <c r="E242" s="5" t="inlineStr">
        <is>
          <t>白色刺绣衬衫</t>
        </is>
      </c>
      <c r="F242" s="4" t="inlineStr">
        <is>
          <t>S</t>
        </is>
      </c>
      <c r="G242" s="6" t="n">
        <v>328</v>
      </c>
      <c r="H242" s="12" t="n">
        <v>0</v>
      </c>
      <c r="I242" s="7" t="inlineStr">
        <is>
          <t>https://img.alicdn.com/bao/uploaded/i1/2217590670593/O1CN01D1mnFi1GFdpWvRMRV_!!2217590670593.jpg</t>
        </is>
      </c>
      <c r="J242" s="7" t="inlineStr">
        <is>
          <t>http://item.taobao.com/item.htm?id=805240702207</t>
        </is>
      </c>
    </row>
    <row r="243" ht="17" customHeight="1">
      <c r="A243" s="8" t="n">
        <v>240</v>
      </c>
      <c r="B243" s="8" t="inlineStr">
        <is>
          <t>NTF0311W-L</t>
        </is>
      </c>
      <c r="C243" s="8" t="inlineStr">
        <is>
          <t>NTF-0311</t>
        </is>
      </c>
      <c r="D243" s="9" t="inlineStr">
        <is>
          <t>扭捏 少女的祈祷 花边拼接蛋糕a字小短裙白色半身裙 防走光内衬</t>
        </is>
      </c>
      <c r="E243" s="9" t="inlineStr">
        <is>
          <t>白色拼接短裙</t>
        </is>
      </c>
      <c r="F243" s="8" t="inlineStr">
        <is>
          <t>L</t>
        </is>
      </c>
      <c r="G243" s="10" t="n">
        <v>358</v>
      </c>
      <c r="H243" s="12" t="n">
        <v>0</v>
      </c>
      <c r="I243" s="11" t="inlineStr">
        <is>
          <t>https://img.alicdn.com/bao/uploaded/i3/2217590670593/O1CN01q90Rk01GFdpW2UYab_!!2217590670593.jpg</t>
        </is>
      </c>
      <c r="J243" s="11" t="inlineStr">
        <is>
          <t>http://item.taobao.com/item.htm?id=805155843613</t>
        </is>
      </c>
    </row>
    <row r="244" ht="17" customHeight="1">
      <c r="A244" s="4" t="n">
        <v>241</v>
      </c>
      <c r="B244" s="4" t="inlineStr">
        <is>
          <t>NTF0311W-M</t>
        </is>
      </c>
      <c r="C244" s="4" t="inlineStr">
        <is>
          <t>NTF-0311</t>
        </is>
      </c>
      <c r="D244" s="5" t="inlineStr">
        <is>
          <t>扭捏 少女的祈祷 花边拼接蛋糕a字小短裙白色半身裙 防走光内衬</t>
        </is>
      </c>
      <c r="E244" s="5" t="inlineStr">
        <is>
          <t>白色拼接短裙</t>
        </is>
      </c>
      <c r="F244" s="4" t="inlineStr">
        <is>
          <t>M</t>
        </is>
      </c>
      <c r="G244" s="6" t="n">
        <v>358</v>
      </c>
      <c r="H244" s="12" t="n">
        <v>0</v>
      </c>
      <c r="I244" s="7" t="inlineStr">
        <is>
          <t>https://img.alicdn.com/bao/uploaded/i3/2217590670593/O1CN01q90Rk01GFdpW2UYab_!!2217590670593.jpg</t>
        </is>
      </c>
      <c r="J244" s="7" t="inlineStr">
        <is>
          <t>http://item.taobao.com/item.htm?id=805155843613</t>
        </is>
      </c>
    </row>
    <row r="245" ht="17" customHeight="1">
      <c r="A245" s="8" t="n">
        <v>242</v>
      </c>
      <c r="B245" s="8" t="inlineStr">
        <is>
          <t>NTF0311W-S</t>
        </is>
      </c>
      <c r="C245" s="8" t="inlineStr">
        <is>
          <t>NTF-0311</t>
        </is>
      </c>
      <c r="D245" s="9" t="inlineStr">
        <is>
          <t>扭捏 少女的祈祷 花边拼接蛋糕a字小短裙白色半身裙 防走光内衬</t>
        </is>
      </c>
      <c r="E245" s="9" t="inlineStr">
        <is>
          <t>白色拼接短裙</t>
        </is>
      </c>
      <c r="F245" s="8" t="inlineStr">
        <is>
          <t>S</t>
        </is>
      </c>
      <c r="G245" s="10" t="n">
        <v>358</v>
      </c>
      <c r="H245" s="12" t="n">
        <v>0</v>
      </c>
      <c r="I245" s="11" t="inlineStr">
        <is>
          <t>https://img.alicdn.com/bao/uploaded/i3/2217590670593/O1CN01q90Rk01GFdpW2UYab_!!2217590670593.jpg</t>
        </is>
      </c>
      <c r="J245" s="11" t="inlineStr">
        <is>
          <t>http://item.taobao.com/item.htm?id=805155843613</t>
        </is>
      </c>
    </row>
    <row r="246" ht="17" customHeight="1">
      <c r="A246" s="4" t="n">
        <v>243</v>
      </c>
      <c r="B246" s="4" t="inlineStr">
        <is>
          <t>NTF0515B-L</t>
        </is>
      </c>
      <c r="C246" s="4" t="inlineStr">
        <is>
          <t>NTF-0515</t>
        </is>
      </c>
      <c r="D246" s="5" t="inlineStr">
        <is>
          <t>扭捏 浅蓝色小兔子蘑菇刺绣基础百搭短袖上衣宽松弹力针织T恤女夏</t>
        </is>
      </c>
      <c r="E246" s="5" t="inlineStr">
        <is>
          <t>浅蓝色刺绣T恤</t>
        </is>
      </c>
      <c r="F246" s="4" t="inlineStr">
        <is>
          <t>L</t>
        </is>
      </c>
      <c r="G246" s="6" t="n">
        <v>198</v>
      </c>
      <c r="H246" s="4" t="n">
        <v>3</v>
      </c>
      <c r="I246" s="7" t="inlineStr">
        <is>
          <t>https://img.alicdn.com/bao/uploaded/i3/2217590670593/O1CN01aFs6Tx1GFdpiaCW2R_!!2217590670593.jpg</t>
        </is>
      </c>
      <c r="J246" s="7" t="inlineStr">
        <is>
          <t>http://item.taobao.com/item.htm?id=808048458843</t>
        </is>
      </c>
    </row>
    <row r="247" ht="17" customHeight="1">
      <c r="A247" s="8" t="n">
        <v>244</v>
      </c>
      <c r="B247" s="8" t="inlineStr">
        <is>
          <t>NTF0515B-M</t>
        </is>
      </c>
      <c r="C247" s="8" t="inlineStr">
        <is>
          <t>NTF-0515</t>
        </is>
      </c>
      <c r="D247" s="9" t="inlineStr">
        <is>
          <t>扭捏 浅蓝色小兔子蘑菇刺绣基础百搭短袖上衣宽松弹力针织T恤女夏</t>
        </is>
      </c>
      <c r="E247" s="9" t="inlineStr">
        <is>
          <t>浅蓝色刺绣T恤</t>
        </is>
      </c>
      <c r="F247" s="8" t="inlineStr">
        <is>
          <t>M</t>
        </is>
      </c>
      <c r="G247" s="10" t="n">
        <v>198</v>
      </c>
      <c r="H247" s="8" t="n">
        <v>13</v>
      </c>
      <c r="I247" s="11" t="inlineStr">
        <is>
          <t>https://img.alicdn.com/bao/uploaded/i3/2217590670593/O1CN01aFs6Tx1GFdpiaCW2R_!!2217590670593.jpg</t>
        </is>
      </c>
      <c r="J247" s="11" t="inlineStr">
        <is>
          <t>http://item.taobao.com/item.htm?id=808048458843</t>
        </is>
      </c>
    </row>
    <row r="248" ht="17" customHeight="1">
      <c r="A248" s="4" t="n">
        <v>245</v>
      </c>
      <c r="B248" s="4" t="inlineStr">
        <is>
          <t>NTF0515B-S</t>
        </is>
      </c>
      <c r="C248" s="4" t="inlineStr">
        <is>
          <t>NTF-0515</t>
        </is>
      </c>
      <c r="D248" s="5" t="inlineStr">
        <is>
          <t>扭捏 浅蓝色小兔子蘑菇刺绣基础百搭短袖上衣宽松弹力针织T恤女夏</t>
        </is>
      </c>
      <c r="E248" s="5" t="inlineStr">
        <is>
          <t>浅蓝色刺绣T恤</t>
        </is>
      </c>
      <c r="F248" s="4" t="inlineStr">
        <is>
          <t>S</t>
        </is>
      </c>
      <c r="G248" s="6" t="n">
        <v>198</v>
      </c>
      <c r="H248" s="4" t="n">
        <v>14</v>
      </c>
      <c r="I248" s="7" t="inlineStr">
        <is>
          <t>https://img.alicdn.com/bao/uploaded/i3/2217590670593/O1CN01aFs6Tx1GFdpiaCW2R_!!2217590670593.jpg</t>
        </is>
      </c>
      <c r="J248" s="7" t="inlineStr">
        <is>
          <t>http://item.taobao.com/item.htm?id=808048458843</t>
        </is>
      </c>
    </row>
    <row r="249" ht="17" customHeight="1">
      <c r="A249" s="8" t="n">
        <v>246</v>
      </c>
      <c r="B249" s="8" t="inlineStr">
        <is>
          <t>NTF0307A-L</t>
        </is>
      </c>
      <c r="C249" s="8" t="inlineStr">
        <is>
          <t>NTF-0307A</t>
        </is>
      </c>
      <c r="D249" s="9" t="inlineStr">
        <is>
          <t>扭捏 可爱小猫印花蕾丝花边少女感百搭灰色圆领短袖T恤上衣</t>
        </is>
      </c>
      <c r="E249" s="9" t="inlineStr">
        <is>
          <t>灰色小猫T恤</t>
        </is>
      </c>
      <c r="F249" s="8" t="inlineStr">
        <is>
          <t>L</t>
        </is>
      </c>
      <c r="G249" s="10" t="n">
        <v>198</v>
      </c>
      <c r="H249" s="8" t="n">
        <v>3</v>
      </c>
      <c r="I249" s="11" t="inlineStr">
        <is>
          <t>https://img.alicdn.com/bao/uploaded/i2/2217590670593/O1CN01fgwFKi1GFdqCIiAPK_!!2217590670593.jpg</t>
        </is>
      </c>
      <c r="J249" s="11" t="inlineStr">
        <is>
          <t>http://item.taobao.com/item.htm?id=806185410390</t>
        </is>
      </c>
    </row>
    <row r="250" ht="17" customHeight="1">
      <c r="A250" s="4" t="n">
        <v>247</v>
      </c>
      <c r="B250" s="4" t="inlineStr">
        <is>
          <t>NTF0307A-M</t>
        </is>
      </c>
      <c r="C250" s="4" t="inlineStr">
        <is>
          <t>NTF-0307A</t>
        </is>
      </c>
      <c r="D250" s="5" t="inlineStr">
        <is>
          <t>扭捏 可爱小猫印花蕾丝花边少女感百搭灰色圆领短袖T恤上衣</t>
        </is>
      </c>
      <c r="E250" s="5" t="inlineStr">
        <is>
          <t>灰色小猫T恤</t>
        </is>
      </c>
      <c r="F250" s="4" t="inlineStr">
        <is>
          <t>M</t>
        </is>
      </c>
      <c r="G250" s="6" t="n">
        <v>198</v>
      </c>
      <c r="H250" s="4" t="n">
        <v>16</v>
      </c>
      <c r="I250" s="7" t="inlineStr">
        <is>
          <t>https://img.alicdn.com/bao/uploaded/i2/2217590670593/O1CN01fgwFKi1GFdqCIiAPK_!!2217590670593.jpg</t>
        </is>
      </c>
      <c r="J250" s="7" t="inlineStr">
        <is>
          <t>http://item.taobao.com/item.htm?id=806185410390</t>
        </is>
      </c>
    </row>
    <row r="251" ht="17" customHeight="1">
      <c r="A251" s="8" t="n">
        <v>248</v>
      </c>
      <c r="B251" s="8" t="inlineStr">
        <is>
          <t>NTF0307A-S</t>
        </is>
      </c>
      <c r="C251" s="8" t="inlineStr">
        <is>
          <t>NTF-0307A</t>
        </is>
      </c>
      <c r="D251" s="9" t="inlineStr">
        <is>
          <t>扭捏 可爱小猫印花蕾丝花边少女感百搭灰色圆领短袖T恤上衣</t>
        </is>
      </c>
      <c r="E251" s="9" t="inlineStr">
        <is>
          <t>灰色小猫T恤</t>
        </is>
      </c>
      <c r="F251" s="8" t="inlineStr">
        <is>
          <t>S</t>
        </is>
      </c>
      <c r="G251" s="10" t="n">
        <v>198</v>
      </c>
      <c r="H251" s="8" t="n">
        <v>11</v>
      </c>
      <c r="I251" s="11" t="inlineStr">
        <is>
          <t>https://img.alicdn.com/bao/uploaded/i2/2217590670593/O1CN01fgwFKi1GFdqCIiAPK_!!2217590670593.jpg</t>
        </is>
      </c>
      <c r="J251" s="11" t="inlineStr">
        <is>
          <t>http://item.taobao.com/item.htm?id=806185410390</t>
        </is>
      </c>
    </row>
    <row r="252" ht="17" customHeight="1">
      <c r="A252" s="4" t="n">
        <v>249</v>
      </c>
      <c r="B252" s="4" t="inlineStr">
        <is>
          <t>NTF0512WB-M</t>
        </is>
      </c>
      <c r="C252" s="4" t="inlineStr">
        <is>
          <t>NTF-0512</t>
        </is>
      </c>
      <c r="D252" s="5" t="inlineStr">
        <is>
          <t>扭捏 法式设计感度假风仙女裙收腰显瘦粉蓝色碎花连衣裙女夏季</t>
        </is>
      </c>
      <c r="E252" s="5" t="inlineStr">
        <is>
          <t>粉蓝色碎花裙</t>
        </is>
      </c>
      <c r="F252" s="4" t="inlineStr">
        <is>
          <t>M</t>
        </is>
      </c>
      <c r="G252" s="6" t="n">
        <v>488</v>
      </c>
      <c r="H252" s="4" t="n">
        <v>3</v>
      </c>
      <c r="I252" s="7" t="inlineStr">
        <is>
          <t>https://img.alicdn.com/bao/uploaded/i2/2217590670593/O1CN01JxKyk01GFdpW9Y4QY_!!2217590670593.jpg</t>
        </is>
      </c>
      <c r="J252" s="7" t="inlineStr">
        <is>
          <t>http://item.taobao.com/item.htm?id=805271526953</t>
        </is>
      </c>
    </row>
    <row r="253" ht="17" customHeight="1">
      <c r="A253" s="8" t="n">
        <v>250</v>
      </c>
      <c r="B253" s="8" t="inlineStr">
        <is>
          <t>NTF0512WB-S</t>
        </is>
      </c>
      <c r="C253" s="8" t="inlineStr">
        <is>
          <t>NTF-0512</t>
        </is>
      </c>
      <c r="D253" s="9" t="inlineStr">
        <is>
          <t>扭捏 法式设计感度假风仙女裙收腰显瘦粉蓝色碎花连衣裙女夏季</t>
        </is>
      </c>
      <c r="E253" s="9" t="inlineStr">
        <is>
          <t>粉蓝色碎花裙</t>
        </is>
      </c>
      <c r="F253" s="8" t="inlineStr">
        <is>
          <t>S</t>
        </is>
      </c>
      <c r="G253" s="10" t="n">
        <v>488</v>
      </c>
      <c r="H253" s="8" t="n">
        <v>8</v>
      </c>
      <c r="I253" s="11" t="inlineStr">
        <is>
          <t>https://img.alicdn.com/bao/uploaded/i2/2217590670593/O1CN01JxKyk01GFdpW9Y4QY_!!2217590670593.jpg</t>
        </is>
      </c>
      <c r="J253" s="11" t="inlineStr">
        <is>
          <t>http://item.taobao.com/item.htm?id=805271526953</t>
        </is>
      </c>
    </row>
    <row r="254" ht="17" customHeight="1">
      <c r="A254" s="4" t="n">
        <v>251</v>
      </c>
      <c r="B254" s="4" t="inlineStr">
        <is>
          <t>NTF0305W-L</t>
        </is>
      </c>
      <c r="C254" s="4" t="inlineStr">
        <is>
          <t>NTF-0305</t>
        </is>
      </c>
      <c r="D254" s="5" t="inlineStr">
        <is>
          <t>扭捏 真丝棉混纺轻薄法式白衬衫 玫瑰花边荷叶领复古宽松长袖上衣</t>
        </is>
      </c>
      <c r="E254" s="5" t="inlineStr">
        <is>
          <t>白色花边衬衫</t>
        </is>
      </c>
      <c r="F254" s="4" t="inlineStr">
        <is>
          <t>L</t>
        </is>
      </c>
      <c r="G254" s="6" t="n">
        <v>428</v>
      </c>
      <c r="H254" s="12" t="n">
        <v>0</v>
      </c>
      <c r="I254" s="7" t="inlineStr">
        <is>
          <t>https://img.alicdn.com/bao/uploaded/i1/2217590670593/O1CN01KrbK0i1GFdpiapeNw_!!2217590670593.jpg</t>
        </is>
      </c>
      <c r="J254" s="7" t="inlineStr">
        <is>
          <t>http://item.taobao.com/item.htm?id=805477971905</t>
        </is>
      </c>
    </row>
    <row r="255" ht="17" customHeight="1">
      <c r="A255" s="8" t="n">
        <v>252</v>
      </c>
      <c r="B255" s="8" t="inlineStr">
        <is>
          <t>NTF0305W-M</t>
        </is>
      </c>
      <c r="C255" s="8" t="inlineStr">
        <is>
          <t>NTF-0305</t>
        </is>
      </c>
      <c r="D255" s="9" t="inlineStr">
        <is>
          <t>扭捏 真丝棉混纺轻薄法式白衬衫 玫瑰花边荷叶领复古宽松长袖上衣</t>
        </is>
      </c>
      <c r="E255" s="9" t="inlineStr">
        <is>
          <t>白色花边衬衫</t>
        </is>
      </c>
      <c r="F255" s="8" t="inlineStr">
        <is>
          <t>M</t>
        </is>
      </c>
      <c r="G255" s="10" t="n">
        <v>428</v>
      </c>
      <c r="H255" s="12" t="n">
        <v>0</v>
      </c>
      <c r="I255" s="11" t="inlineStr">
        <is>
          <t>https://img.alicdn.com/bao/uploaded/i1/2217590670593/O1CN01KrbK0i1GFdpiapeNw_!!2217590670593.jpg</t>
        </is>
      </c>
      <c r="J255" s="11" t="inlineStr">
        <is>
          <t>http://item.taobao.com/item.htm?id=805477971905</t>
        </is>
      </c>
    </row>
    <row r="256" ht="17" customHeight="1">
      <c r="A256" s="4" t="n">
        <v>253</v>
      </c>
      <c r="B256" s="4" t="inlineStr">
        <is>
          <t>NTF0305W-S</t>
        </is>
      </c>
      <c r="C256" s="4" t="inlineStr">
        <is>
          <t>NTF-0305</t>
        </is>
      </c>
      <c r="D256" s="5" t="inlineStr">
        <is>
          <t>扭捏 真丝棉混纺轻薄法式白衬衫 玫瑰花边荷叶领复古宽松长袖上衣</t>
        </is>
      </c>
      <c r="E256" s="5" t="inlineStr">
        <is>
          <t>白色花边衬衫</t>
        </is>
      </c>
      <c r="F256" s="4" t="inlineStr">
        <is>
          <t>S</t>
        </is>
      </c>
      <c r="G256" s="6" t="n">
        <v>428</v>
      </c>
      <c r="H256" s="12" t="n">
        <v>0</v>
      </c>
      <c r="I256" s="7" t="inlineStr">
        <is>
          <t>https://img.alicdn.com/bao/uploaded/i1/2217590670593/O1CN01KrbK0i1GFdpiapeNw_!!2217590670593.jpg</t>
        </is>
      </c>
      <c r="J256" s="7" t="inlineStr">
        <is>
          <t>http://item.taobao.com/item.htm?id=805477971905</t>
        </is>
      </c>
    </row>
    <row r="257" ht="17" customHeight="1">
      <c r="A257" s="8" t="n">
        <v>254</v>
      </c>
      <c r="B257" s="8" t="inlineStr">
        <is>
          <t>NTF0335A-L</t>
        </is>
      </c>
      <c r="C257" s="8" t="inlineStr">
        <is>
          <t>NTF-0335</t>
        </is>
      </c>
      <c r="D257" s="9" t="inlineStr">
        <is>
          <t>扭捏 印花刺绣白色蕾丝多层花边半身裙可拆卸背带裙夏季 原创设计</t>
        </is>
      </c>
      <c r="E257" s="9" t="inlineStr">
        <is>
          <t>可拆卸背带</t>
        </is>
      </c>
      <c r="F257" s="8" t="inlineStr">
        <is>
          <t>L</t>
        </is>
      </c>
      <c r="G257" s="10" t="n">
        <v>128</v>
      </c>
      <c r="H257" s="8" t="n">
        <v>6</v>
      </c>
      <c r="I257" s="11" t="inlineStr">
        <is>
          <t>https://img.alicdn.com/bao/uploaded/i4/2217590670593/O1CN01zGDxqH1GFdpiW0m7P_!!2217590670593.jpg</t>
        </is>
      </c>
      <c r="J257" s="11" t="inlineStr">
        <is>
          <t>http://item.taobao.com/item.htm?id=805466991968</t>
        </is>
      </c>
    </row>
    <row r="258" ht="17" customHeight="1">
      <c r="A258" s="4" t="n">
        <v>255</v>
      </c>
      <c r="B258" s="4" t="inlineStr">
        <is>
          <t>NTF0335A-M</t>
        </is>
      </c>
      <c r="C258" s="4" t="inlineStr">
        <is>
          <t>NTF-0335</t>
        </is>
      </c>
      <c r="D258" s="5" t="inlineStr">
        <is>
          <t>扭捏 印花刺绣白色蕾丝多层花边半身裙可拆卸背带裙夏季 原创设计</t>
        </is>
      </c>
      <c r="E258" s="5" t="inlineStr">
        <is>
          <t>可拆卸背带</t>
        </is>
      </c>
      <c r="F258" s="4" t="inlineStr">
        <is>
          <t>M</t>
        </is>
      </c>
      <c r="G258" s="6" t="n">
        <v>128</v>
      </c>
      <c r="H258" s="4" t="n">
        <v>2</v>
      </c>
      <c r="I258" s="7" t="inlineStr">
        <is>
          <t>https://img.alicdn.com/bao/uploaded/i4/2217590670593/O1CN01zGDxqH1GFdpiW0m7P_!!2217590670593.jpg</t>
        </is>
      </c>
      <c r="J258" s="7" t="inlineStr">
        <is>
          <t>http://item.taobao.com/item.htm?id=805466991968</t>
        </is>
      </c>
    </row>
    <row r="259" ht="17" customHeight="1">
      <c r="A259" s="8" t="n">
        <v>256</v>
      </c>
      <c r="B259" s="8" t="inlineStr">
        <is>
          <t>NTF0335A-S</t>
        </is>
      </c>
      <c r="C259" s="8" t="inlineStr">
        <is>
          <t>NTF-0335</t>
        </is>
      </c>
      <c r="D259" s="9" t="inlineStr">
        <is>
          <t>扭捏 印花刺绣白色蕾丝多层花边半身裙可拆卸背带裙夏季 原创设计</t>
        </is>
      </c>
      <c r="E259" s="9" t="inlineStr">
        <is>
          <t>可拆卸背带</t>
        </is>
      </c>
      <c r="F259" s="8" t="inlineStr">
        <is>
          <t>S</t>
        </is>
      </c>
      <c r="G259" s="10" t="n">
        <v>128</v>
      </c>
      <c r="H259" s="8" t="n">
        <v>10</v>
      </c>
      <c r="I259" s="11" t="inlineStr">
        <is>
          <t>https://img.alicdn.com/bao/uploaded/i4/2217590670593/O1CN01zGDxqH1GFdpiW0m7P_!!2217590670593.jpg</t>
        </is>
      </c>
      <c r="J259" s="11" t="inlineStr">
        <is>
          <t>http://item.taobao.com/item.htm?id=805466991968</t>
        </is>
      </c>
    </row>
    <row r="260" ht="17" customHeight="1">
      <c r="A260" s="4" t="n">
        <v>257</v>
      </c>
      <c r="B260" s="4" t="inlineStr">
        <is>
          <t>NTF0335B-L</t>
        </is>
      </c>
      <c r="C260" s="4" t="inlineStr">
        <is>
          <t>NTF-0335</t>
        </is>
      </c>
      <c r="D260" s="5" t="inlineStr">
        <is>
          <t>扭捏 印花刺绣白色蕾丝多层花边半身裙可拆卸背带裙夏季 原创设计</t>
        </is>
      </c>
      <c r="E260" s="5" t="inlineStr">
        <is>
          <t>多层花边半身裙</t>
        </is>
      </c>
      <c r="F260" s="4" t="inlineStr">
        <is>
          <t>L</t>
        </is>
      </c>
      <c r="G260" s="6" t="n">
        <v>398</v>
      </c>
      <c r="H260" s="4" t="n">
        <v>13</v>
      </c>
      <c r="I260" s="7" t="inlineStr">
        <is>
          <t>https://img.alicdn.com/bao/uploaded/i4/2217590670593/O1CN01zGDxqH1GFdpiW0m7P_!!2217590670593.jpg</t>
        </is>
      </c>
      <c r="J260" s="7" t="inlineStr">
        <is>
          <t>http://item.taobao.com/item.htm?id=805466991968</t>
        </is>
      </c>
    </row>
    <row r="261" ht="17" customHeight="1">
      <c r="A261" s="8" t="n">
        <v>258</v>
      </c>
      <c r="B261" s="8" t="inlineStr">
        <is>
          <t>NTF0335B-M</t>
        </is>
      </c>
      <c r="C261" s="8" t="inlineStr">
        <is>
          <t>NTF-0335</t>
        </is>
      </c>
      <c r="D261" s="9" t="inlineStr">
        <is>
          <t>扭捏 印花刺绣白色蕾丝多层花边半身裙可拆卸背带裙夏季 原创设计</t>
        </is>
      </c>
      <c r="E261" s="9" t="inlineStr">
        <is>
          <t>多层花边半身裙</t>
        </is>
      </c>
      <c r="F261" s="8" t="inlineStr">
        <is>
          <t>M</t>
        </is>
      </c>
      <c r="G261" s="10" t="n">
        <v>398</v>
      </c>
      <c r="H261" s="8" t="n">
        <v>8</v>
      </c>
      <c r="I261" s="11" t="inlineStr">
        <is>
          <t>https://img.alicdn.com/bao/uploaded/i4/2217590670593/O1CN01zGDxqH1GFdpiW0m7P_!!2217590670593.jpg</t>
        </is>
      </c>
      <c r="J261" s="11" t="inlineStr">
        <is>
          <t>http://item.taobao.com/item.htm?id=805466991968</t>
        </is>
      </c>
    </row>
    <row r="262" ht="17" customHeight="1">
      <c r="A262" s="4" t="n">
        <v>259</v>
      </c>
      <c r="B262" s="4" t="inlineStr">
        <is>
          <t>NTF0335B-S</t>
        </is>
      </c>
      <c r="C262" s="4" t="inlineStr">
        <is>
          <t>NTF-0335</t>
        </is>
      </c>
      <c r="D262" s="5" t="inlineStr">
        <is>
          <t>扭捏 印花刺绣白色蕾丝多层花边半身裙可拆卸背带裙夏季 原创设计</t>
        </is>
      </c>
      <c r="E262" s="5" t="inlineStr">
        <is>
          <t>多层花边半身裙</t>
        </is>
      </c>
      <c r="F262" s="4" t="inlineStr">
        <is>
          <t>S</t>
        </is>
      </c>
      <c r="G262" s="6" t="n">
        <v>398</v>
      </c>
      <c r="H262" s="4" t="n">
        <v>7</v>
      </c>
      <c r="I262" s="7" t="inlineStr">
        <is>
          <t>https://img.alicdn.com/bao/uploaded/i4/2217590670593/O1CN01zGDxqH1GFdpiW0m7P_!!2217590670593.jpg</t>
        </is>
      </c>
      <c r="J262" s="7" t="inlineStr">
        <is>
          <t>http://item.taobao.com/item.htm?id=805466991968</t>
        </is>
      </c>
    </row>
    <row r="263" ht="17" customHeight="1">
      <c r="A263" s="8" t="n">
        <v>260</v>
      </c>
      <c r="B263" s="8" t="inlineStr">
        <is>
          <t>NTF0338B-G-M</t>
        </is>
      </c>
      <c r="C263" s="8" t="inlineStr">
        <is>
          <t>NTF-0338</t>
        </is>
      </c>
      <c r="D263" s="9" t="inlineStr">
        <is>
          <t>扭捏 绿色植物染艺术感提花褶皱吊带背心半身长裙套装女夏季</t>
        </is>
      </c>
      <c r="E263" s="9" t="inlineStr">
        <is>
          <t>植物染绿色系半身裙</t>
        </is>
      </c>
      <c r="F263" s="8" t="inlineStr">
        <is>
          <t>M</t>
        </is>
      </c>
      <c r="G263" s="10" t="n">
        <v>458</v>
      </c>
      <c r="H263" s="8" t="n">
        <v>5</v>
      </c>
      <c r="I263" s="11" t="inlineStr">
        <is>
          <t>https://img.alicdn.com/bao/uploaded/i2/2217590670593/O1CN015sQMKG1GFdphNWeJz_!!2217590670593.jpg</t>
        </is>
      </c>
      <c r="J263" s="11" t="inlineStr">
        <is>
          <t>http://item.taobao.com/item.htm?id=805743181177</t>
        </is>
      </c>
    </row>
    <row r="264" ht="17" customHeight="1">
      <c r="A264" s="4" t="n">
        <v>261</v>
      </c>
      <c r="B264" s="4" t="inlineStr">
        <is>
          <t>NTF0338B-G-S</t>
        </is>
      </c>
      <c r="C264" s="4" t="inlineStr">
        <is>
          <t>NTF-0338</t>
        </is>
      </c>
      <c r="D264" s="5" t="inlineStr">
        <is>
          <t>扭捏 绿色植物染艺术感提花褶皱吊带背心半身长裙套装女夏季</t>
        </is>
      </c>
      <c r="E264" s="5" t="inlineStr">
        <is>
          <t>植物染绿色系半身裙</t>
        </is>
      </c>
      <c r="F264" s="4" t="inlineStr">
        <is>
          <t>S</t>
        </is>
      </c>
      <c r="G264" s="6" t="n">
        <v>458</v>
      </c>
      <c r="H264" s="12" t="n">
        <v>0</v>
      </c>
      <c r="I264" s="7" t="inlineStr">
        <is>
          <t>https://img.alicdn.com/bao/uploaded/i2/2217590670593/O1CN015sQMKG1GFdphNWeJz_!!2217590670593.jpg</t>
        </is>
      </c>
      <c r="J264" s="7" t="inlineStr">
        <is>
          <t>http://item.taobao.com/item.htm?id=805743181177</t>
        </is>
      </c>
    </row>
    <row r="265" ht="17" customHeight="1">
      <c r="A265" s="8" t="n">
        <v>262</v>
      </c>
      <c r="B265" s="8" t="inlineStr">
        <is>
          <t>NTF0338A-G-M</t>
        </is>
      </c>
      <c r="C265" s="8" t="inlineStr">
        <is>
          <t>NTF-0338</t>
        </is>
      </c>
      <c r="D265" s="9" t="inlineStr">
        <is>
          <t>扭捏 绿色植物染艺术感提花褶皱吊带背心半身长裙套装女夏季</t>
        </is>
      </c>
      <c r="E265" s="9" t="inlineStr">
        <is>
          <t>植物染绿色系背心</t>
        </is>
      </c>
      <c r="F265" s="8" t="inlineStr">
        <is>
          <t>M</t>
        </is>
      </c>
      <c r="G265" s="10" t="n">
        <v>298</v>
      </c>
      <c r="H265" s="8" t="n">
        <v>7</v>
      </c>
      <c r="I265" s="11" t="inlineStr">
        <is>
          <t>https://img.alicdn.com/bao/uploaded/i2/2217590670593/O1CN015sQMKG1GFdphNWeJz_!!2217590670593.jpg</t>
        </is>
      </c>
      <c r="J265" s="11" t="inlineStr">
        <is>
          <t>http://item.taobao.com/item.htm?id=805743181177</t>
        </is>
      </c>
    </row>
    <row r="266" ht="17" customHeight="1">
      <c r="A266" s="4" t="n">
        <v>263</v>
      </c>
      <c r="B266" s="4" t="inlineStr">
        <is>
          <t>NTF0338A-G-S</t>
        </is>
      </c>
      <c r="C266" s="4" t="inlineStr">
        <is>
          <t>NTF-0338</t>
        </is>
      </c>
      <c r="D266" s="5" t="inlineStr">
        <is>
          <t>扭捏 绿色植物染艺术感提花褶皱吊带背心半身长裙套装女夏季</t>
        </is>
      </c>
      <c r="E266" s="5" t="inlineStr">
        <is>
          <t>植物染绿色系背心</t>
        </is>
      </c>
      <c r="F266" s="4" t="inlineStr">
        <is>
          <t>S</t>
        </is>
      </c>
      <c r="G266" s="6" t="n">
        <v>298</v>
      </c>
      <c r="H266" s="4" t="n">
        <v>1</v>
      </c>
      <c r="I266" s="7" t="inlineStr">
        <is>
          <t>https://img.alicdn.com/bao/uploaded/i2/2217590670593/O1CN015sQMKG1GFdphNWeJz_!!2217590670593.jpg</t>
        </is>
      </c>
      <c r="J266" s="7" t="inlineStr">
        <is>
          <t>http://item.taobao.com/item.htm?id=805743181177</t>
        </is>
      </c>
    </row>
    <row r="267" ht="17" customHeight="1">
      <c r="A267" s="8" t="n">
        <v>264</v>
      </c>
      <c r="B267" s="8" t="inlineStr">
        <is>
          <t>NTF0503L-M</t>
        </is>
      </c>
      <c r="C267" s="8" t="inlineStr">
        <is>
          <t>NTF-0503</t>
        </is>
      </c>
      <c r="D267" s="9" t="inlineStr">
        <is>
          <t>扭捏 慵懒度假风葡萄印花文艺复古宽松绿色拼接棉麻背带裙背心裙</t>
        </is>
      </c>
      <c r="E267" s="9" t="inlineStr">
        <is>
          <t>葡萄拼接背带裙</t>
        </is>
      </c>
      <c r="F267" s="8" t="inlineStr">
        <is>
          <t>M</t>
        </is>
      </c>
      <c r="G267" s="10" t="n">
        <v>398</v>
      </c>
      <c r="H267" s="8" t="n">
        <v>6</v>
      </c>
      <c r="I267" s="11" t="inlineStr">
        <is>
          <t>https://img.alicdn.com/bao/uploaded/i1/2217590670593/O1CN01odaeDC1GFdpZQVrxf_!!2217590670593.jpg</t>
        </is>
      </c>
      <c r="J267" s="11" t="inlineStr">
        <is>
          <t>http://item.taobao.com/item.htm?id=805791248352</t>
        </is>
      </c>
    </row>
    <row r="268" ht="17" customHeight="1">
      <c r="A268" s="4" t="n">
        <v>265</v>
      </c>
      <c r="B268" s="4" t="inlineStr">
        <is>
          <t>NTF0503L-S</t>
        </is>
      </c>
      <c r="C268" s="4" t="inlineStr">
        <is>
          <t>NTF-0503</t>
        </is>
      </c>
      <c r="D268" s="5" t="inlineStr">
        <is>
          <t>扭捏 慵懒度假风葡萄印花文艺复古宽松绿色拼接棉麻背带裙背心裙</t>
        </is>
      </c>
      <c r="E268" s="5" t="inlineStr">
        <is>
          <t>葡萄拼接背带裙</t>
        </is>
      </c>
      <c r="F268" s="4" t="inlineStr">
        <is>
          <t>S</t>
        </is>
      </c>
      <c r="G268" s="6" t="n">
        <v>398</v>
      </c>
      <c r="H268" s="4" t="n">
        <v>10</v>
      </c>
      <c r="I268" s="7" t="inlineStr">
        <is>
          <t>https://img.alicdn.com/bao/uploaded/i1/2217590670593/O1CN01odaeDC1GFdpZQVrxf_!!2217590670593.jpg</t>
        </is>
      </c>
      <c r="J268" s="7" t="inlineStr">
        <is>
          <t>http://item.taobao.com/item.htm?id=805791248352</t>
        </is>
      </c>
    </row>
    <row r="269" ht="17" customHeight="1">
      <c r="A269" s="8" t="n">
        <v>266</v>
      </c>
      <c r="B269" s="8" t="inlineStr">
        <is>
          <t>NTF0307B-L</t>
        </is>
      </c>
      <c r="C269" s="8" t="inlineStr">
        <is>
          <t>NTF-0307B</t>
        </is>
      </c>
      <c r="D269" s="9" t="inlineStr">
        <is>
          <t>扭捏  原创设计蕾丝花边法式复古白色玫瑰印花圆领T恤短袖上衣夏</t>
        </is>
      </c>
      <c r="E269" s="9" t="inlineStr">
        <is>
          <t>白色玫瑰T恤</t>
        </is>
      </c>
      <c r="F269" s="8" t="inlineStr">
        <is>
          <t>L</t>
        </is>
      </c>
      <c r="G269" s="10" t="n">
        <v>198</v>
      </c>
      <c r="H269" s="8" t="n">
        <v>1</v>
      </c>
      <c r="I269" s="11" t="inlineStr">
        <is>
          <t>https://img.alicdn.com/bao/uploaded/i1/2217590670593/O1CN01Wln9D01GFdpkOeMro_!!2217590670593.jpg</t>
        </is>
      </c>
      <c r="J269" s="11" t="inlineStr">
        <is>
          <t>http://item.taobao.com/item.htm?id=805780260524</t>
        </is>
      </c>
    </row>
    <row r="270" ht="17" customHeight="1">
      <c r="A270" s="4" t="n">
        <v>267</v>
      </c>
      <c r="B270" s="4" t="inlineStr">
        <is>
          <t>NTF0307B-M</t>
        </is>
      </c>
      <c r="C270" s="4" t="inlineStr">
        <is>
          <t>NTF-0307B</t>
        </is>
      </c>
      <c r="D270" s="5" t="inlineStr">
        <is>
          <t>扭捏  原创设计蕾丝花边法式复古白色玫瑰印花圆领T恤短袖上衣夏</t>
        </is>
      </c>
      <c r="E270" s="5" t="inlineStr">
        <is>
          <t>白色玫瑰T恤</t>
        </is>
      </c>
      <c r="F270" s="4" t="inlineStr">
        <is>
          <t>M</t>
        </is>
      </c>
      <c r="G270" s="6" t="n">
        <v>198</v>
      </c>
      <c r="H270" s="4" t="n">
        <v>5</v>
      </c>
      <c r="I270" s="7" t="inlineStr">
        <is>
          <t>https://img.alicdn.com/bao/uploaded/i1/2217590670593/O1CN01Wln9D01GFdpkOeMro_!!2217590670593.jpg</t>
        </is>
      </c>
      <c r="J270" s="7" t="inlineStr">
        <is>
          <t>http://item.taobao.com/item.htm?id=805780260524</t>
        </is>
      </c>
    </row>
    <row r="271" ht="17" customHeight="1">
      <c r="A271" s="8" t="n">
        <v>268</v>
      </c>
      <c r="B271" s="8" t="inlineStr">
        <is>
          <t>NTF0307B-S</t>
        </is>
      </c>
      <c r="C271" s="8" t="inlineStr">
        <is>
          <t>NTF-0307B</t>
        </is>
      </c>
      <c r="D271" s="9" t="inlineStr">
        <is>
          <t>扭捏  原创设计蕾丝花边法式复古白色玫瑰印花圆领T恤短袖上衣夏</t>
        </is>
      </c>
      <c r="E271" s="9" t="inlineStr">
        <is>
          <t>白色玫瑰T恤</t>
        </is>
      </c>
      <c r="F271" s="8" t="inlineStr">
        <is>
          <t>S</t>
        </is>
      </c>
      <c r="G271" s="10" t="n">
        <v>198</v>
      </c>
      <c r="H271" s="8" t="n">
        <v>3</v>
      </c>
      <c r="I271" s="11" t="inlineStr">
        <is>
          <t>https://img.alicdn.com/bao/uploaded/i1/2217590670593/O1CN01Wln9D01GFdpkOeMro_!!2217590670593.jpg</t>
        </is>
      </c>
      <c r="J271" s="11" t="inlineStr">
        <is>
          <t>http://item.taobao.com/item.htm?id=805780260524</t>
        </is>
      </c>
    </row>
    <row r="272" ht="17" customHeight="1">
      <c r="A272" s="4" t="n">
        <v>269</v>
      </c>
      <c r="B272" s="4" t="inlineStr">
        <is>
          <t>NTF0501B-L</t>
        </is>
      </c>
      <c r="C272" s="4" t="inlineStr">
        <is>
          <t>NTF-0501B</t>
        </is>
      </c>
      <c r="D272" s="5" t="inlineStr">
        <is>
          <t>扭捏 仿醋酸蓝色一片式绑带蝴蝶结半身裙 拼接玫瑰蕾丝裙</t>
        </is>
      </c>
      <c r="E272" s="5" t="inlineStr">
        <is>
          <t>蓝色一片式半裙</t>
        </is>
      </c>
      <c r="F272" s="4" t="inlineStr">
        <is>
          <t>L</t>
        </is>
      </c>
      <c r="G272" s="6" t="n">
        <v>368</v>
      </c>
      <c r="H272" s="4" t="n">
        <v>7</v>
      </c>
      <c r="I272" s="7" t="inlineStr">
        <is>
          <t>https://img.alicdn.com/bao/uploaded/i1/2217590670593/O1CN01ajY5uO1GFdpep88cl_!!2217590670593.jpg</t>
        </is>
      </c>
      <c r="J272" s="7" t="inlineStr">
        <is>
          <t>http://item.taobao.com/item.htm?id=806083527517</t>
        </is>
      </c>
    </row>
    <row r="273" ht="17" customHeight="1">
      <c r="A273" s="8" t="n">
        <v>270</v>
      </c>
      <c r="B273" s="8" t="inlineStr">
        <is>
          <t>NTF0501B-M</t>
        </is>
      </c>
      <c r="C273" s="8" t="inlineStr">
        <is>
          <t>NTF-0501B</t>
        </is>
      </c>
      <c r="D273" s="9" t="inlineStr">
        <is>
          <t>扭捏 仿醋酸蓝色一片式绑带蝴蝶结半身裙 拼接玫瑰蕾丝裙</t>
        </is>
      </c>
      <c r="E273" s="9" t="inlineStr">
        <is>
          <t>蓝色一片式半裙</t>
        </is>
      </c>
      <c r="F273" s="8" t="inlineStr">
        <is>
          <t>M</t>
        </is>
      </c>
      <c r="G273" s="10" t="n">
        <v>368</v>
      </c>
      <c r="H273" s="8" t="n">
        <v>15</v>
      </c>
      <c r="I273" s="11" t="inlineStr">
        <is>
          <t>https://img.alicdn.com/bao/uploaded/i1/2217590670593/O1CN01ajY5uO1GFdpep88cl_!!2217590670593.jpg</t>
        </is>
      </c>
      <c r="J273" s="11" t="inlineStr">
        <is>
          <t>http://item.taobao.com/item.htm?id=806083527517</t>
        </is>
      </c>
    </row>
    <row r="274" ht="17" customHeight="1">
      <c r="A274" s="4" t="n">
        <v>271</v>
      </c>
      <c r="B274" s="4" t="inlineStr">
        <is>
          <t>NTF0501B-S</t>
        </is>
      </c>
      <c r="C274" s="4" t="inlineStr">
        <is>
          <t>NTF-0501B</t>
        </is>
      </c>
      <c r="D274" s="5" t="inlineStr">
        <is>
          <t>扭捏 仿醋酸蓝色一片式绑带蝴蝶结半身裙 拼接玫瑰蕾丝裙</t>
        </is>
      </c>
      <c r="E274" s="5" t="inlineStr">
        <is>
          <t>蓝色一片式半裙</t>
        </is>
      </c>
      <c r="F274" s="4" t="inlineStr">
        <is>
          <t>S</t>
        </is>
      </c>
      <c r="G274" s="6" t="n">
        <v>368</v>
      </c>
      <c r="H274" s="4" t="n">
        <v>11</v>
      </c>
      <c r="I274" s="7" t="inlineStr">
        <is>
          <t>https://img.alicdn.com/bao/uploaded/i1/2217590670593/O1CN01ajY5uO1GFdpep88cl_!!2217590670593.jpg</t>
        </is>
      </c>
      <c r="J274" s="7" t="inlineStr">
        <is>
          <t>http://item.taobao.com/item.htm?id=806083527517</t>
        </is>
      </c>
    </row>
    <row r="275" ht="17" customHeight="1">
      <c r="A275" s="8" t="n">
        <v>272</v>
      </c>
      <c r="B275" s="8" t="inlineStr">
        <is>
          <t>NTF0509AG-L</t>
        </is>
      </c>
      <c r="C275" s="8" t="inlineStr">
        <is>
          <t>NTF-0509</t>
        </is>
      </c>
      <c r="D275" s="9" t="inlineStr">
        <is>
          <t>扭捏 绿色高密纸感棉 简约基础百搭白色拼接蕾丝背心吊带外穿上衣</t>
        </is>
      </c>
      <c r="E275" s="9" t="inlineStr">
        <is>
          <t>绿色纸感吊带【微弹】</t>
        </is>
      </c>
      <c r="F275" s="8" t="inlineStr">
        <is>
          <t>L</t>
        </is>
      </c>
      <c r="G275" s="10" t="n">
        <v>258</v>
      </c>
      <c r="H275" s="8" t="n">
        <v>4</v>
      </c>
      <c r="I275" s="11" t="inlineStr">
        <is>
          <t>https://img.alicdn.com/bao/uploaded/i1/2217590670593/O1CN011L7dBF1GFdpiDXty9_!!2217590670593.jpg</t>
        </is>
      </c>
      <c r="J275" s="11" t="inlineStr">
        <is>
          <t>http://item.taobao.com/item.htm?id=808287141266</t>
        </is>
      </c>
    </row>
    <row r="276" ht="17" customHeight="1">
      <c r="A276" s="4" t="n">
        <v>273</v>
      </c>
      <c r="B276" s="4" t="inlineStr">
        <is>
          <t>NTF0509AG-M</t>
        </is>
      </c>
      <c r="C276" s="4" t="inlineStr">
        <is>
          <t>NTF-0509</t>
        </is>
      </c>
      <c r="D276" s="5" t="inlineStr">
        <is>
          <t>扭捏 绿色高密纸感棉 简约基础百搭白色拼接蕾丝背心吊带外穿上衣</t>
        </is>
      </c>
      <c r="E276" s="5" t="inlineStr">
        <is>
          <t>绿色纸感吊带【微弹】</t>
        </is>
      </c>
      <c r="F276" s="4" t="inlineStr">
        <is>
          <t>M</t>
        </is>
      </c>
      <c r="G276" s="6" t="n">
        <v>258</v>
      </c>
      <c r="H276" s="12" t="n">
        <v>0</v>
      </c>
      <c r="I276" s="7" t="inlineStr">
        <is>
          <t>https://img.alicdn.com/bao/uploaded/i1/2217590670593/O1CN011L7dBF1GFdpiDXty9_!!2217590670593.jpg</t>
        </is>
      </c>
      <c r="J276" s="7" t="inlineStr">
        <is>
          <t>http://item.taobao.com/item.htm?id=808287141266</t>
        </is>
      </c>
    </row>
    <row r="277" ht="17" customHeight="1">
      <c r="A277" s="8" t="n">
        <v>274</v>
      </c>
      <c r="B277" s="8" t="inlineStr">
        <is>
          <t>NTF0509AG-S</t>
        </is>
      </c>
      <c r="C277" s="8" t="inlineStr">
        <is>
          <t>NTF-0509</t>
        </is>
      </c>
      <c r="D277" s="9" t="inlineStr">
        <is>
          <t>扭捏 绿色高密纸感棉 简约基础百搭白色拼接蕾丝背心吊带外穿上衣</t>
        </is>
      </c>
      <c r="E277" s="9" t="inlineStr">
        <is>
          <t>绿色纸感吊带【微弹】</t>
        </is>
      </c>
      <c r="F277" s="8" t="inlineStr">
        <is>
          <t>S</t>
        </is>
      </c>
      <c r="G277" s="10" t="n">
        <v>258</v>
      </c>
      <c r="H277" s="8" t="n">
        <v>2</v>
      </c>
      <c r="I277" s="11" t="inlineStr">
        <is>
          <t>https://img.alicdn.com/bao/uploaded/i1/2217590670593/O1CN011L7dBF1GFdpiDXty9_!!2217590670593.jpg</t>
        </is>
      </c>
      <c r="J277" s="11" t="inlineStr">
        <is>
          <t>http://item.taobao.com/item.htm?id=808287141266</t>
        </is>
      </c>
    </row>
    <row r="278" ht="17" customHeight="1">
      <c r="A278" s="4" t="n">
        <v>275</v>
      </c>
      <c r="B278" s="4" t="inlineStr">
        <is>
          <t>NTF0509BW-L</t>
        </is>
      </c>
      <c r="C278" s="4" t="inlineStr">
        <is>
          <t>NTF-0509</t>
        </is>
      </c>
      <c r="D278" s="5" t="inlineStr">
        <is>
          <t>扭捏 绿色高密纸感棉 简约基础百搭白色拼接蕾丝背心吊带外穿上衣</t>
        </is>
      </c>
      <c r="E278" s="5" t="inlineStr">
        <is>
          <t>白色拼接蕾丝吊带【无弹】</t>
        </is>
      </c>
      <c r="F278" s="4" t="inlineStr">
        <is>
          <t>L</t>
        </is>
      </c>
      <c r="G278" s="6" t="n">
        <v>258</v>
      </c>
      <c r="H278" s="4" t="n">
        <v>4</v>
      </c>
      <c r="I278" s="7" t="inlineStr">
        <is>
          <t>https://img.alicdn.com/bao/uploaded/i1/2217590670593/O1CN011L7dBF1GFdpiDXty9_!!2217590670593.jpg</t>
        </is>
      </c>
      <c r="J278" s="7" t="inlineStr">
        <is>
          <t>http://item.taobao.com/item.htm?id=808287141266</t>
        </is>
      </c>
    </row>
    <row r="279" ht="17" customHeight="1">
      <c r="A279" s="8" t="n">
        <v>276</v>
      </c>
      <c r="B279" s="8" t="inlineStr">
        <is>
          <t>NTF0509BW-M</t>
        </is>
      </c>
      <c r="C279" s="8" t="inlineStr">
        <is>
          <t>NTF-0509</t>
        </is>
      </c>
      <c r="D279" s="9" t="inlineStr">
        <is>
          <t>扭捏 绿色高密纸感棉 简约基础百搭白色拼接蕾丝背心吊带外穿上衣</t>
        </is>
      </c>
      <c r="E279" s="9" t="inlineStr">
        <is>
          <t>白色拼接蕾丝吊带【无弹】</t>
        </is>
      </c>
      <c r="F279" s="8" t="inlineStr">
        <is>
          <t>M</t>
        </is>
      </c>
      <c r="G279" s="10" t="n">
        <v>258</v>
      </c>
      <c r="H279" s="12" t="n">
        <v>0</v>
      </c>
      <c r="I279" s="11" t="inlineStr">
        <is>
          <t>https://img.alicdn.com/bao/uploaded/i1/2217590670593/O1CN011L7dBF1GFdpiDXty9_!!2217590670593.jpg</t>
        </is>
      </c>
      <c r="J279" s="11" t="inlineStr">
        <is>
          <t>http://item.taobao.com/item.htm?id=808287141266</t>
        </is>
      </c>
    </row>
    <row r="280" ht="17" customHeight="1">
      <c r="A280" s="4" t="n">
        <v>277</v>
      </c>
      <c r="B280" s="4" t="inlineStr">
        <is>
          <t>NTF0509BW-S</t>
        </is>
      </c>
      <c r="C280" s="4" t="inlineStr">
        <is>
          <t>NTF-0509</t>
        </is>
      </c>
      <c r="D280" s="5" t="inlineStr">
        <is>
          <t>扭捏 绿色高密纸感棉 简约基础百搭白色拼接蕾丝背心吊带外穿上衣</t>
        </is>
      </c>
      <c r="E280" s="5" t="inlineStr">
        <is>
          <t>白色拼接蕾丝吊带【无弹】</t>
        </is>
      </c>
      <c r="F280" s="4" t="inlineStr">
        <is>
          <t>S</t>
        </is>
      </c>
      <c r="G280" s="6" t="n">
        <v>258</v>
      </c>
      <c r="H280" s="12" t="n">
        <v>0</v>
      </c>
      <c r="I280" s="7" t="inlineStr">
        <is>
          <t>https://img.alicdn.com/bao/uploaded/i1/2217590670593/O1CN011L7dBF1GFdpiDXty9_!!2217590670593.jpg</t>
        </is>
      </c>
      <c r="J280" s="7" t="inlineStr">
        <is>
          <t>http://item.taobao.com/item.htm?id=808287141266</t>
        </is>
      </c>
    </row>
  </sheetData>
  <autoFilter ref="A3:J280"/>
  <mergeCells count="2">
    <mergeCell ref="A2:K2"/>
    <mergeCell ref="A1:K1"/>
  </mergeCells>
  <hyperlinks>
    <hyperlink xmlns:r="http://schemas.openxmlformats.org/officeDocument/2006/relationships" ref="I4" r:id="rId1"/>
    <hyperlink xmlns:r="http://schemas.openxmlformats.org/officeDocument/2006/relationships" ref="J4" r:id="rId2"/>
    <hyperlink xmlns:r="http://schemas.openxmlformats.org/officeDocument/2006/relationships" ref="I5" r:id="rId3"/>
    <hyperlink xmlns:r="http://schemas.openxmlformats.org/officeDocument/2006/relationships" ref="J5" r:id="rId4"/>
    <hyperlink xmlns:r="http://schemas.openxmlformats.org/officeDocument/2006/relationships" ref="I6" r:id="rId5"/>
    <hyperlink xmlns:r="http://schemas.openxmlformats.org/officeDocument/2006/relationships" ref="J6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I8" r:id="rId9"/>
    <hyperlink xmlns:r="http://schemas.openxmlformats.org/officeDocument/2006/relationships" ref="J8" r:id="rId10"/>
    <hyperlink xmlns:r="http://schemas.openxmlformats.org/officeDocument/2006/relationships" ref="I9" r:id="rId11"/>
    <hyperlink xmlns:r="http://schemas.openxmlformats.org/officeDocument/2006/relationships" ref="J9" r:id="rId12"/>
    <hyperlink xmlns:r="http://schemas.openxmlformats.org/officeDocument/2006/relationships" ref="I10" r:id="rId13"/>
    <hyperlink xmlns:r="http://schemas.openxmlformats.org/officeDocument/2006/relationships" ref="J10" r:id="rId14"/>
    <hyperlink xmlns:r="http://schemas.openxmlformats.org/officeDocument/2006/relationships" ref="I11" r:id="rId15"/>
    <hyperlink xmlns:r="http://schemas.openxmlformats.org/officeDocument/2006/relationships" ref="J11" r:id="rId16"/>
    <hyperlink xmlns:r="http://schemas.openxmlformats.org/officeDocument/2006/relationships" ref="I12" r:id="rId17"/>
    <hyperlink xmlns:r="http://schemas.openxmlformats.org/officeDocument/2006/relationships" ref="J12" r:id="rId18"/>
    <hyperlink xmlns:r="http://schemas.openxmlformats.org/officeDocument/2006/relationships" ref="I13" r:id="rId19"/>
    <hyperlink xmlns:r="http://schemas.openxmlformats.org/officeDocument/2006/relationships" ref="J13" r:id="rId20"/>
    <hyperlink xmlns:r="http://schemas.openxmlformats.org/officeDocument/2006/relationships" ref="I14" r:id="rId21"/>
    <hyperlink xmlns:r="http://schemas.openxmlformats.org/officeDocument/2006/relationships" ref="J14" r:id="rId22"/>
    <hyperlink xmlns:r="http://schemas.openxmlformats.org/officeDocument/2006/relationships" ref="I15" r:id="rId23"/>
    <hyperlink xmlns:r="http://schemas.openxmlformats.org/officeDocument/2006/relationships" ref="J15" r:id="rId24"/>
    <hyperlink xmlns:r="http://schemas.openxmlformats.org/officeDocument/2006/relationships" ref="I16" r:id="rId25"/>
    <hyperlink xmlns:r="http://schemas.openxmlformats.org/officeDocument/2006/relationships" ref="J16" r:id="rId26"/>
    <hyperlink xmlns:r="http://schemas.openxmlformats.org/officeDocument/2006/relationships" ref="I17" r:id="rId27"/>
    <hyperlink xmlns:r="http://schemas.openxmlformats.org/officeDocument/2006/relationships" ref="J17" r:id="rId28"/>
    <hyperlink xmlns:r="http://schemas.openxmlformats.org/officeDocument/2006/relationships" ref="I18" r:id="rId29"/>
    <hyperlink xmlns:r="http://schemas.openxmlformats.org/officeDocument/2006/relationships" ref="J18" r:id="rId30"/>
    <hyperlink xmlns:r="http://schemas.openxmlformats.org/officeDocument/2006/relationships" ref="I19" r:id="rId31"/>
    <hyperlink xmlns:r="http://schemas.openxmlformats.org/officeDocument/2006/relationships" ref="J19" r:id="rId32"/>
    <hyperlink xmlns:r="http://schemas.openxmlformats.org/officeDocument/2006/relationships" ref="I20" r:id="rId33"/>
    <hyperlink xmlns:r="http://schemas.openxmlformats.org/officeDocument/2006/relationships" ref="J20" r:id="rId34"/>
    <hyperlink xmlns:r="http://schemas.openxmlformats.org/officeDocument/2006/relationships" ref="I21" r:id="rId35"/>
    <hyperlink xmlns:r="http://schemas.openxmlformats.org/officeDocument/2006/relationships" ref="J21" r:id="rId36"/>
    <hyperlink xmlns:r="http://schemas.openxmlformats.org/officeDocument/2006/relationships" ref="I22" r:id="rId37"/>
    <hyperlink xmlns:r="http://schemas.openxmlformats.org/officeDocument/2006/relationships" ref="J22" r:id="rId38"/>
    <hyperlink xmlns:r="http://schemas.openxmlformats.org/officeDocument/2006/relationships" ref="I23" r:id="rId39"/>
    <hyperlink xmlns:r="http://schemas.openxmlformats.org/officeDocument/2006/relationships" ref="J23" r:id="rId40"/>
    <hyperlink xmlns:r="http://schemas.openxmlformats.org/officeDocument/2006/relationships" ref="I24" r:id="rId41"/>
    <hyperlink xmlns:r="http://schemas.openxmlformats.org/officeDocument/2006/relationships" ref="J24" r:id="rId42"/>
    <hyperlink xmlns:r="http://schemas.openxmlformats.org/officeDocument/2006/relationships" ref="I25" r:id="rId43"/>
    <hyperlink xmlns:r="http://schemas.openxmlformats.org/officeDocument/2006/relationships" ref="J25" r:id="rId44"/>
    <hyperlink xmlns:r="http://schemas.openxmlformats.org/officeDocument/2006/relationships" ref="I26" r:id="rId45"/>
    <hyperlink xmlns:r="http://schemas.openxmlformats.org/officeDocument/2006/relationships" ref="J26" r:id="rId46"/>
    <hyperlink xmlns:r="http://schemas.openxmlformats.org/officeDocument/2006/relationships" ref="I27" r:id="rId47"/>
    <hyperlink xmlns:r="http://schemas.openxmlformats.org/officeDocument/2006/relationships" ref="J27" r:id="rId48"/>
    <hyperlink xmlns:r="http://schemas.openxmlformats.org/officeDocument/2006/relationships" ref="I28" r:id="rId49"/>
    <hyperlink xmlns:r="http://schemas.openxmlformats.org/officeDocument/2006/relationships" ref="J28" r:id="rId50"/>
    <hyperlink xmlns:r="http://schemas.openxmlformats.org/officeDocument/2006/relationships" ref="I29" r:id="rId51"/>
    <hyperlink xmlns:r="http://schemas.openxmlformats.org/officeDocument/2006/relationships" ref="J29" r:id="rId52"/>
    <hyperlink xmlns:r="http://schemas.openxmlformats.org/officeDocument/2006/relationships" ref="I30" r:id="rId53"/>
    <hyperlink xmlns:r="http://schemas.openxmlformats.org/officeDocument/2006/relationships" ref="J30" r:id="rId54"/>
    <hyperlink xmlns:r="http://schemas.openxmlformats.org/officeDocument/2006/relationships" ref="I31" r:id="rId55"/>
    <hyperlink xmlns:r="http://schemas.openxmlformats.org/officeDocument/2006/relationships" ref="J31" r:id="rId56"/>
    <hyperlink xmlns:r="http://schemas.openxmlformats.org/officeDocument/2006/relationships" ref="I32" r:id="rId57"/>
    <hyperlink xmlns:r="http://schemas.openxmlformats.org/officeDocument/2006/relationships" ref="J32" r:id="rId58"/>
    <hyperlink xmlns:r="http://schemas.openxmlformats.org/officeDocument/2006/relationships" ref="I33" r:id="rId59"/>
    <hyperlink xmlns:r="http://schemas.openxmlformats.org/officeDocument/2006/relationships" ref="J33" r:id="rId60"/>
    <hyperlink xmlns:r="http://schemas.openxmlformats.org/officeDocument/2006/relationships" ref="I34" r:id="rId61"/>
    <hyperlink xmlns:r="http://schemas.openxmlformats.org/officeDocument/2006/relationships" ref="J34" r:id="rId62"/>
    <hyperlink xmlns:r="http://schemas.openxmlformats.org/officeDocument/2006/relationships" ref="I35" r:id="rId63"/>
    <hyperlink xmlns:r="http://schemas.openxmlformats.org/officeDocument/2006/relationships" ref="J35" r:id="rId64"/>
    <hyperlink xmlns:r="http://schemas.openxmlformats.org/officeDocument/2006/relationships" ref="I36" r:id="rId65"/>
    <hyperlink xmlns:r="http://schemas.openxmlformats.org/officeDocument/2006/relationships" ref="J36" r:id="rId66"/>
    <hyperlink xmlns:r="http://schemas.openxmlformats.org/officeDocument/2006/relationships" ref="I37" r:id="rId67"/>
    <hyperlink xmlns:r="http://schemas.openxmlformats.org/officeDocument/2006/relationships" ref="J37" r:id="rId68"/>
    <hyperlink xmlns:r="http://schemas.openxmlformats.org/officeDocument/2006/relationships" ref="I38" r:id="rId69"/>
    <hyperlink xmlns:r="http://schemas.openxmlformats.org/officeDocument/2006/relationships" ref="J38" r:id="rId70"/>
    <hyperlink xmlns:r="http://schemas.openxmlformats.org/officeDocument/2006/relationships" ref="I39" r:id="rId71"/>
    <hyperlink xmlns:r="http://schemas.openxmlformats.org/officeDocument/2006/relationships" ref="J39" r:id="rId72"/>
    <hyperlink xmlns:r="http://schemas.openxmlformats.org/officeDocument/2006/relationships" ref="I40" r:id="rId73"/>
    <hyperlink xmlns:r="http://schemas.openxmlformats.org/officeDocument/2006/relationships" ref="J40" r:id="rId74"/>
    <hyperlink xmlns:r="http://schemas.openxmlformats.org/officeDocument/2006/relationships" ref="I41" r:id="rId75"/>
    <hyperlink xmlns:r="http://schemas.openxmlformats.org/officeDocument/2006/relationships" ref="J41" r:id="rId76"/>
    <hyperlink xmlns:r="http://schemas.openxmlformats.org/officeDocument/2006/relationships" ref="I42" r:id="rId77"/>
    <hyperlink xmlns:r="http://schemas.openxmlformats.org/officeDocument/2006/relationships" ref="J42" r:id="rId78"/>
    <hyperlink xmlns:r="http://schemas.openxmlformats.org/officeDocument/2006/relationships" ref="I43" r:id="rId79"/>
    <hyperlink xmlns:r="http://schemas.openxmlformats.org/officeDocument/2006/relationships" ref="J43" r:id="rId80"/>
    <hyperlink xmlns:r="http://schemas.openxmlformats.org/officeDocument/2006/relationships" ref="I44" r:id="rId81"/>
    <hyperlink xmlns:r="http://schemas.openxmlformats.org/officeDocument/2006/relationships" ref="J44" r:id="rId82"/>
    <hyperlink xmlns:r="http://schemas.openxmlformats.org/officeDocument/2006/relationships" ref="I45" r:id="rId83"/>
    <hyperlink xmlns:r="http://schemas.openxmlformats.org/officeDocument/2006/relationships" ref="J45" r:id="rId84"/>
    <hyperlink xmlns:r="http://schemas.openxmlformats.org/officeDocument/2006/relationships" ref="I46" r:id="rId85"/>
    <hyperlink xmlns:r="http://schemas.openxmlformats.org/officeDocument/2006/relationships" ref="J46" r:id="rId86"/>
    <hyperlink xmlns:r="http://schemas.openxmlformats.org/officeDocument/2006/relationships" ref="I47" r:id="rId87"/>
    <hyperlink xmlns:r="http://schemas.openxmlformats.org/officeDocument/2006/relationships" ref="J47" r:id="rId88"/>
    <hyperlink xmlns:r="http://schemas.openxmlformats.org/officeDocument/2006/relationships" ref="I48" r:id="rId89"/>
    <hyperlink xmlns:r="http://schemas.openxmlformats.org/officeDocument/2006/relationships" ref="J48" r:id="rId90"/>
    <hyperlink xmlns:r="http://schemas.openxmlformats.org/officeDocument/2006/relationships" ref="I49" r:id="rId91"/>
    <hyperlink xmlns:r="http://schemas.openxmlformats.org/officeDocument/2006/relationships" ref="J49" r:id="rId92"/>
    <hyperlink xmlns:r="http://schemas.openxmlformats.org/officeDocument/2006/relationships" ref="I50" r:id="rId93"/>
    <hyperlink xmlns:r="http://schemas.openxmlformats.org/officeDocument/2006/relationships" ref="J50" r:id="rId94"/>
    <hyperlink xmlns:r="http://schemas.openxmlformats.org/officeDocument/2006/relationships" ref="I51" r:id="rId95"/>
    <hyperlink xmlns:r="http://schemas.openxmlformats.org/officeDocument/2006/relationships" ref="J51" r:id="rId96"/>
    <hyperlink xmlns:r="http://schemas.openxmlformats.org/officeDocument/2006/relationships" ref="I52" r:id="rId97"/>
    <hyperlink xmlns:r="http://schemas.openxmlformats.org/officeDocument/2006/relationships" ref="J52" r:id="rId98"/>
    <hyperlink xmlns:r="http://schemas.openxmlformats.org/officeDocument/2006/relationships" ref="I53" r:id="rId99"/>
    <hyperlink xmlns:r="http://schemas.openxmlformats.org/officeDocument/2006/relationships" ref="J53" r:id="rId100"/>
    <hyperlink xmlns:r="http://schemas.openxmlformats.org/officeDocument/2006/relationships" ref="I54" r:id="rId101"/>
    <hyperlink xmlns:r="http://schemas.openxmlformats.org/officeDocument/2006/relationships" ref="J54" r:id="rId102"/>
    <hyperlink xmlns:r="http://schemas.openxmlformats.org/officeDocument/2006/relationships" ref="I55" r:id="rId103"/>
    <hyperlink xmlns:r="http://schemas.openxmlformats.org/officeDocument/2006/relationships" ref="J55" r:id="rId104"/>
    <hyperlink xmlns:r="http://schemas.openxmlformats.org/officeDocument/2006/relationships" ref="I56" r:id="rId105"/>
    <hyperlink xmlns:r="http://schemas.openxmlformats.org/officeDocument/2006/relationships" ref="J56" r:id="rId106"/>
    <hyperlink xmlns:r="http://schemas.openxmlformats.org/officeDocument/2006/relationships" ref="I57" r:id="rId107"/>
    <hyperlink xmlns:r="http://schemas.openxmlformats.org/officeDocument/2006/relationships" ref="J57" r:id="rId108"/>
    <hyperlink xmlns:r="http://schemas.openxmlformats.org/officeDocument/2006/relationships" ref="I58" r:id="rId109"/>
    <hyperlink xmlns:r="http://schemas.openxmlformats.org/officeDocument/2006/relationships" ref="J58" r:id="rId110"/>
    <hyperlink xmlns:r="http://schemas.openxmlformats.org/officeDocument/2006/relationships" ref="I59" r:id="rId111"/>
    <hyperlink xmlns:r="http://schemas.openxmlformats.org/officeDocument/2006/relationships" ref="J59" r:id="rId112"/>
    <hyperlink xmlns:r="http://schemas.openxmlformats.org/officeDocument/2006/relationships" ref="I60" r:id="rId113"/>
    <hyperlink xmlns:r="http://schemas.openxmlformats.org/officeDocument/2006/relationships" ref="J60" r:id="rId114"/>
    <hyperlink xmlns:r="http://schemas.openxmlformats.org/officeDocument/2006/relationships" ref="I61" r:id="rId115"/>
    <hyperlink xmlns:r="http://schemas.openxmlformats.org/officeDocument/2006/relationships" ref="J61" r:id="rId116"/>
    <hyperlink xmlns:r="http://schemas.openxmlformats.org/officeDocument/2006/relationships" ref="I62" r:id="rId117"/>
    <hyperlink xmlns:r="http://schemas.openxmlformats.org/officeDocument/2006/relationships" ref="J62" r:id="rId118"/>
    <hyperlink xmlns:r="http://schemas.openxmlformats.org/officeDocument/2006/relationships" ref="I63" r:id="rId119"/>
    <hyperlink xmlns:r="http://schemas.openxmlformats.org/officeDocument/2006/relationships" ref="J63" r:id="rId120"/>
    <hyperlink xmlns:r="http://schemas.openxmlformats.org/officeDocument/2006/relationships" ref="I64" r:id="rId121"/>
    <hyperlink xmlns:r="http://schemas.openxmlformats.org/officeDocument/2006/relationships" ref="J64" r:id="rId122"/>
    <hyperlink xmlns:r="http://schemas.openxmlformats.org/officeDocument/2006/relationships" ref="I65" r:id="rId123"/>
    <hyperlink xmlns:r="http://schemas.openxmlformats.org/officeDocument/2006/relationships" ref="J65" r:id="rId124"/>
    <hyperlink xmlns:r="http://schemas.openxmlformats.org/officeDocument/2006/relationships" ref="I66" r:id="rId125"/>
    <hyperlink xmlns:r="http://schemas.openxmlformats.org/officeDocument/2006/relationships" ref="J66" r:id="rId126"/>
    <hyperlink xmlns:r="http://schemas.openxmlformats.org/officeDocument/2006/relationships" ref="I67" r:id="rId127"/>
    <hyperlink xmlns:r="http://schemas.openxmlformats.org/officeDocument/2006/relationships" ref="J67" r:id="rId128"/>
    <hyperlink xmlns:r="http://schemas.openxmlformats.org/officeDocument/2006/relationships" ref="I68" r:id="rId129"/>
    <hyperlink xmlns:r="http://schemas.openxmlformats.org/officeDocument/2006/relationships" ref="J68" r:id="rId130"/>
    <hyperlink xmlns:r="http://schemas.openxmlformats.org/officeDocument/2006/relationships" ref="I69" r:id="rId131"/>
    <hyperlink xmlns:r="http://schemas.openxmlformats.org/officeDocument/2006/relationships" ref="J69" r:id="rId132"/>
    <hyperlink xmlns:r="http://schemas.openxmlformats.org/officeDocument/2006/relationships" ref="I70" r:id="rId133"/>
    <hyperlink xmlns:r="http://schemas.openxmlformats.org/officeDocument/2006/relationships" ref="J70" r:id="rId134"/>
    <hyperlink xmlns:r="http://schemas.openxmlformats.org/officeDocument/2006/relationships" ref="I71" r:id="rId135"/>
    <hyperlink xmlns:r="http://schemas.openxmlformats.org/officeDocument/2006/relationships" ref="J71" r:id="rId136"/>
    <hyperlink xmlns:r="http://schemas.openxmlformats.org/officeDocument/2006/relationships" ref="I72" r:id="rId137"/>
    <hyperlink xmlns:r="http://schemas.openxmlformats.org/officeDocument/2006/relationships" ref="J72" r:id="rId138"/>
    <hyperlink xmlns:r="http://schemas.openxmlformats.org/officeDocument/2006/relationships" ref="I73" r:id="rId139"/>
    <hyperlink xmlns:r="http://schemas.openxmlformats.org/officeDocument/2006/relationships" ref="J73" r:id="rId140"/>
    <hyperlink xmlns:r="http://schemas.openxmlformats.org/officeDocument/2006/relationships" ref="I74" r:id="rId141"/>
    <hyperlink xmlns:r="http://schemas.openxmlformats.org/officeDocument/2006/relationships" ref="J74" r:id="rId142"/>
    <hyperlink xmlns:r="http://schemas.openxmlformats.org/officeDocument/2006/relationships" ref="I75" r:id="rId143"/>
    <hyperlink xmlns:r="http://schemas.openxmlformats.org/officeDocument/2006/relationships" ref="J75" r:id="rId144"/>
    <hyperlink xmlns:r="http://schemas.openxmlformats.org/officeDocument/2006/relationships" ref="I76" r:id="rId145"/>
    <hyperlink xmlns:r="http://schemas.openxmlformats.org/officeDocument/2006/relationships" ref="J76" r:id="rId146"/>
    <hyperlink xmlns:r="http://schemas.openxmlformats.org/officeDocument/2006/relationships" ref="I77" r:id="rId147"/>
    <hyperlink xmlns:r="http://schemas.openxmlformats.org/officeDocument/2006/relationships" ref="J77" r:id="rId148"/>
    <hyperlink xmlns:r="http://schemas.openxmlformats.org/officeDocument/2006/relationships" ref="I78" r:id="rId149"/>
    <hyperlink xmlns:r="http://schemas.openxmlformats.org/officeDocument/2006/relationships" ref="J78" r:id="rId150"/>
    <hyperlink xmlns:r="http://schemas.openxmlformats.org/officeDocument/2006/relationships" ref="I79" r:id="rId151"/>
    <hyperlink xmlns:r="http://schemas.openxmlformats.org/officeDocument/2006/relationships" ref="J79" r:id="rId152"/>
    <hyperlink xmlns:r="http://schemas.openxmlformats.org/officeDocument/2006/relationships" ref="I80" r:id="rId153"/>
    <hyperlink xmlns:r="http://schemas.openxmlformats.org/officeDocument/2006/relationships" ref="J80" r:id="rId154"/>
    <hyperlink xmlns:r="http://schemas.openxmlformats.org/officeDocument/2006/relationships" ref="I81" r:id="rId155"/>
    <hyperlink xmlns:r="http://schemas.openxmlformats.org/officeDocument/2006/relationships" ref="J81" r:id="rId156"/>
    <hyperlink xmlns:r="http://schemas.openxmlformats.org/officeDocument/2006/relationships" ref="I82" r:id="rId157"/>
    <hyperlink xmlns:r="http://schemas.openxmlformats.org/officeDocument/2006/relationships" ref="J82" r:id="rId158"/>
    <hyperlink xmlns:r="http://schemas.openxmlformats.org/officeDocument/2006/relationships" ref="I83" r:id="rId159"/>
    <hyperlink xmlns:r="http://schemas.openxmlformats.org/officeDocument/2006/relationships" ref="J83" r:id="rId160"/>
    <hyperlink xmlns:r="http://schemas.openxmlformats.org/officeDocument/2006/relationships" ref="I84" r:id="rId161"/>
    <hyperlink xmlns:r="http://schemas.openxmlformats.org/officeDocument/2006/relationships" ref="J84" r:id="rId162"/>
    <hyperlink xmlns:r="http://schemas.openxmlformats.org/officeDocument/2006/relationships" ref="I85" r:id="rId163"/>
    <hyperlink xmlns:r="http://schemas.openxmlformats.org/officeDocument/2006/relationships" ref="J85" r:id="rId164"/>
    <hyperlink xmlns:r="http://schemas.openxmlformats.org/officeDocument/2006/relationships" ref="I86" r:id="rId165"/>
    <hyperlink xmlns:r="http://schemas.openxmlformats.org/officeDocument/2006/relationships" ref="J86" r:id="rId166"/>
    <hyperlink xmlns:r="http://schemas.openxmlformats.org/officeDocument/2006/relationships" ref="I87" r:id="rId167"/>
    <hyperlink xmlns:r="http://schemas.openxmlformats.org/officeDocument/2006/relationships" ref="J87" r:id="rId168"/>
    <hyperlink xmlns:r="http://schemas.openxmlformats.org/officeDocument/2006/relationships" ref="I88" r:id="rId169"/>
    <hyperlink xmlns:r="http://schemas.openxmlformats.org/officeDocument/2006/relationships" ref="J88" r:id="rId170"/>
    <hyperlink xmlns:r="http://schemas.openxmlformats.org/officeDocument/2006/relationships" ref="I89" r:id="rId171"/>
    <hyperlink xmlns:r="http://schemas.openxmlformats.org/officeDocument/2006/relationships" ref="J89" r:id="rId172"/>
    <hyperlink xmlns:r="http://schemas.openxmlformats.org/officeDocument/2006/relationships" ref="I90" r:id="rId173"/>
    <hyperlink xmlns:r="http://schemas.openxmlformats.org/officeDocument/2006/relationships" ref="J90" r:id="rId174"/>
    <hyperlink xmlns:r="http://schemas.openxmlformats.org/officeDocument/2006/relationships" ref="I91" r:id="rId175"/>
    <hyperlink xmlns:r="http://schemas.openxmlformats.org/officeDocument/2006/relationships" ref="J91" r:id="rId176"/>
    <hyperlink xmlns:r="http://schemas.openxmlformats.org/officeDocument/2006/relationships" ref="I92" r:id="rId177"/>
    <hyperlink xmlns:r="http://schemas.openxmlformats.org/officeDocument/2006/relationships" ref="J92" r:id="rId178"/>
    <hyperlink xmlns:r="http://schemas.openxmlformats.org/officeDocument/2006/relationships" ref="I93" r:id="rId179"/>
    <hyperlink xmlns:r="http://schemas.openxmlformats.org/officeDocument/2006/relationships" ref="J93" r:id="rId180"/>
    <hyperlink xmlns:r="http://schemas.openxmlformats.org/officeDocument/2006/relationships" ref="I94" r:id="rId181"/>
    <hyperlink xmlns:r="http://schemas.openxmlformats.org/officeDocument/2006/relationships" ref="J94" r:id="rId182"/>
    <hyperlink xmlns:r="http://schemas.openxmlformats.org/officeDocument/2006/relationships" ref="I95" r:id="rId183"/>
    <hyperlink xmlns:r="http://schemas.openxmlformats.org/officeDocument/2006/relationships" ref="J95" r:id="rId184"/>
    <hyperlink xmlns:r="http://schemas.openxmlformats.org/officeDocument/2006/relationships" ref="I96" r:id="rId185"/>
    <hyperlink xmlns:r="http://schemas.openxmlformats.org/officeDocument/2006/relationships" ref="J96" r:id="rId186"/>
    <hyperlink xmlns:r="http://schemas.openxmlformats.org/officeDocument/2006/relationships" ref="I97" r:id="rId187"/>
    <hyperlink xmlns:r="http://schemas.openxmlformats.org/officeDocument/2006/relationships" ref="J97" r:id="rId188"/>
    <hyperlink xmlns:r="http://schemas.openxmlformats.org/officeDocument/2006/relationships" ref="I98" r:id="rId189"/>
    <hyperlink xmlns:r="http://schemas.openxmlformats.org/officeDocument/2006/relationships" ref="J98" r:id="rId190"/>
    <hyperlink xmlns:r="http://schemas.openxmlformats.org/officeDocument/2006/relationships" ref="I99" r:id="rId191"/>
    <hyperlink xmlns:r="http://schemas.openxmlformats.org/officeDocument/2006/relationships" ref="J99" r:id="rId192"/>
    <hyperlink xmlns:r="http://schemas.openxmlformats.org/officeDocument/2006/relationships" ref="I100" r:id="rId193"/>
    <hyperlink xmlns:r="http://schemas.openxmlformats.org/officeDocument/2006/relationships" ref="J100" r:id="rId194"/>
    <hyperlink xmlns:r="http://schemas.openxmlformats.org/officeDocument/2006/relationships" ref="I101" r:id="rId195"/>
    <hyperlink xmlns:r="http://schemas.openxmlformats.org/officeDocument/2006/relationships" ref="J101" r:id="rId196"/>
    <hyperlink xmlns:r="http://schemas.openxmlformats.org/officeDocument/2006/relationships" ref="I102" r:id="rId197"/>
    <hyperlink xmlns:r="http://schemas.openxmlformats.org/officeDocument/2006/relationships" ref="J102" r:id="rId198"/>
    <hyperlink xmlns:r="http://schemas.openxmlformats.org/officeDocument/2006/relationships" ref="I103" r:id="rId199"/>
    <hyperlink xmlns:r="http://schemas.openxmlformats.org/officeDocument/2006/relationships" ref="J103" r:id="rId200"/>
    <hyperlink xmlns:r="http://schemas.openxmlformats.org/officeDocument/2006/relationships" ref="I104" r:id="rId201"/>
    <hyperlink xmlns:r="http://schemas.openxmlformats.org/officeDocument/2006/relationships" ref="J104" r:id="rId202"/>
    <hyperlink xmlns:r="http://schemas.openxmlformats.org/officeDocument/2006/relationships" ref="I105" r:id="rId203"/>
    <hyperlink xmlns:r="http://schemas.openxmlformats.org/officeDocument/2006/relationships" ref="J105" r:id="rId204"/>
    <hyperlink xmlns:r="http://schemas.openxmlformats.org/officeDocument/2006/relationships" ref="I106" r:id="rId205"/>
    <hyperlink xmlns:r="http://schemas.openxmlformats.org/officeDocument/2006/relationships" ref="J106" r:id="rId206"/>
    <hyperlink xmlns:r="http://schemas.openxmlformats.org/officeDocument/2006/relationships" ref="I107" r:id="rId207"/>
    <hyperlink xmlns:r="http://schemas.openxmlformats.org/officeDocument/2006/relationships" ref="J107" r:id="rId208"/>
    <hyperlink xmlns:r="http://schemas.openxmlformats.org/officeDocument/2006/relationships" ref="I108" r:id="rId209"/>
    <hyperlink xmlns:r="http://schemas.openxmlformats.org/officeDocument/2006/relationships" ref="J108" r:id="rId210"/>
    <hyperlink xmlns:r="http://schemas.openxmlformats.org/officeDocument/2006/relationships" ref="I109" r:id="rId211"/>
    <hyperlink xmlns:r="http://schemas.openxmlformats.org/officeDocument/2006/relationships" ref="J109" r:id="rId212"/>
    <hyperlink xmlns:r="http://schemas.openxmlformats.org/officeDocument/2006/relationships" ref="I110" r:id="rId213"/>
    <hyperlink xmlns:r="http://schemas.openxmlformats.org/officeDocument/2006/relationships" ref="J110" r:id="rId214"/>
    <hyperlink xmlns:r="http://schemas.openxmlformats.org/officeDocument/2006/relationships" ref="I111" r:id="rId215"/>
    <hyperlink xmlns:r="http://schemas.openxmlformats.org/officeDocument/2006/relationships" ref="J111" r:id="rId216"/>
    <hyperlink xmlns:r="http://schemas.openxmlformats.org/officeDocument/2006/relationships" ref="I112" r:id="rId217"/>
    <hyperlink xmlns:r="http://schemas.openxmlformats.org/officeDocument/2006/relationships" ref="J112" r:id="rId218"/>
    <hyperlink xmlns:r="http://schemas.openxmlformats.org/officeDocument/2006/relationships" ref="I113" r:id="rId219"/>
    <hyperlink xmlns:r="http://schemas.openxmlformats.org/officeDocument/2006/relationships" ref="J113" r:id="rId220"/>
    <hyperlink xmlns:r="http://schemas.openxmlformats.org/officeDocument/2006/relationships" ref="I114" r:id="rId221"/>
    <hyperlink xmlns:r="http://schemas.openxmlformats.org/officeDocument/2006/relationships" ref="J114" r:id="rId222"/>
    <hyperlink xmlns:r="http://schemas.openxmlformats.org/officeDocument/2006/relationships" ref="I115" r:id="rId223"/>
    <hyperlink xmlns:r="http://schemas.openxmlformats.org/officeDocument/2006/relationships" ref="J115" r:id="rId224"/>
    <hyperlink xmlns:r="http://schemas.openxmlformats.org/officeDocument/2006/relationships" ref="I116" r:id="rId225"/>
    <hyperlink xmlns:r="http://schemas.openxmlformats.org/officeDocument/2006/relationships" ref="J116" r:id="rId226"/>
    <hyperlink xmlns:r="http://schemas.openxmlformats.org/officeDocument/2006/relationships" ref="I117" r:id="rId227"/>
    <hyperlink xmlns:r="http://schemas.openxmlformats.org/officeDocument/2006/relationships" ref="J117" r:id="rId228"/>
    <hyperlink xmlns:r="http://schemas.openxmlformats.org/officeDocument/2006/relationships" ref="I118" r:id="rId229"/>
    <hyperlink xmlns:r="http://schemas.openxmlformats.org/officeDocument/2006/relationships" ref="J118" r:id="rId230"/>
    <hyperlink xmlns:r="http://schemas.openxmlformats.org/officeDocument/2006/relationships" ref="I119" r:id="rId231"/>
    <hyperlink xmlns:r="http://schemas.openxmlformats.org/officeDocument/2006/relationships" ref="J119" r:id="rId232"/>
    <hyperlink xmlns:r="http://schemas.openxmlformats.org/officeDocument/2006/relationships" ref="I120" r:id="rId233"/>
    <hyperlink xmlns:r="http://schemas.openxmlformats.org/officeDocument/2006/relationships" ref="J120" r:id="rId234"/>
    <hyperlink xmlns:r="http://schemas.openxmlformats.org/officeDocument/2006/relationships" ref="I121" r:id="rId235"/>
    <hyperlink xmlns:r="http://schemas.openxmlformats.org/officeDocument/2006/relationships" ref="J121" r:id="rId236"/>
    <hyperlink xmlns:r="http://schemas.openxmlformats.org/officeDocument/2006/relationships" ref="I122" r:id="rId237"/>
    <hyperlink xmlns:r="http://schemas.openxmlformats.org/officeDocument/2006/relationships" ref="J122" r:id="rId238"/>
    <hyperlink xmlns:r="http://schemas.openxmlformats.org/officeDocument/2006/relationships" ref="I123" r:id="rId239"/>
    <hyperlink xmlns:r="http://schemas.openxmlformats.org/officeDocument/2006/relationships" ref="J123" r:id="rId240"/>
    <hyperlink xmlns:r="http://schemas.openxmlformats.org/officeDocument/2006/relationships" ref="I124" r:id="rId241"/>
    <hyperlink xmlns:r="http://schemas.openxmlformats.org/officeDocument/2006/relationships" ref="J124" r:id="rId242"/>
    <hyperlink xmlns:r="http://schemas.openxmlformats.org/officeDocument/2006/relationships" ref="I125" r:id="rId243"/>
    <hyperlink xmlns:r="http://schemas.openxmlformats.org/officeDocument/2006/relationships" ref="J125" r:id="rId244"/>
    <hyperlink xmlns:r="http://schemas.openxmlformats.org/officeDocument/2006/relationships" ref="I126" r:id="rId245"/>
    <hyperlink xmlns:r="http://schemas.openxmlformats.org/officeDocument/2006/relationships" ref="J126" r:id="rId246"/>
    <hyperlink xmlns:r="http://schemas.openxmlformats.org/officeDocument/2006/relationships" ref="I127" r:id="rId247"/>
    <hyperlink xmlns:r="http://schemas.openxmlformats.org/officeDocument/2006/relationships" ref="J127" r:id="rId248"/>
    <hyperlink xmlns:r="http://schemas.openxmlformats.org/officeDocument/2006/relationships" ref="I128" r:id="rId249"/>
    <hyperlink xmlns:r="http://schemas.openxmlformats.org/officeDocument/2006/relationships" ref="J128" r:id="rId250"/>
    <hyperlink xmlns:r="http://schemas.openxmlformats.org/officeDocument/2006/relationships" ref="I129" r:id="rId251"/>
    <hyperlink xmlns:r="http://schemas.openxmlformats.org/officeDocument/2006/relationships" ref="J129" r:id="rId252"/>
    <hyperlink xmlns:r="http://schemas.openxmlformats.org/officeDocument/2006/relationships" ref="I130" r:id="rId253"/>
    <hyperlink xmlns:r="http://schemas.openxmlformats.org/officeDocument/2006/relationships" ref="J130" r:id="rId254"/>
    <hyperlink xmlns:r="http://schemas.openxmlformats.org/officeDocument/2006/relationships" ref="I131" r:id="rId255"/>
    <hyperlink xmlns:r="http://schemas.openxmlformats.org/officeDocument/2006/relationships" ref="J131" r:id="rId256"/>
    <hyperlink xmlns:r="http://schemas.openxmlformats.org/officeDocument/2006/relationships" ref="I132" r:id="rId257"/>
    <hyperlink xmlns:r="http://schemas.openxmlformats.org/officeDocument/2006/relationships" ref="J132" r:id="rId258"/>
    <hyperlink xmlns:r="http://schemas.openxmlformats.org/officeDocument/2006/relationships" ref="I133" r:id="rId259"/>
    <hyperlink xmlns:r="http://schemas.openxmlformats.org/officeDocument/2006/relationships" ref="J133" r:id="rId260"/>
    <hyperlink xmlns:r="http://schemas.openxmlformats.org/officeDocument/2006/relationships" ref="I134" r:id="rId261"/>
    <hyperlink xmlns:r="http://schemas.openxmlformats.org/officeDocument/2006/relationships" ref="J134" r:id="rId262"/>
    <hyperlink xmlns:r="http://schemas.openxmlformats.org/officeDocument/2006/relationships" ref="I135" r:id="rId263"/>
    <hyperlink xmlns:r="http://schemas.openxmlformats.org/officeDocument/2006/relationships" ref="J135" r:id="rId264"/>
    <hyperlink xmlns:r="http://schemas.openxmlformats.org/officeDocument/2006/relationships" ref="I136" r:id="rId265"/>
    <hyperlink xmlns:r="http://schemas.openxmlformats.org/officeDocument/2006/relationships" ref="J136" r:id="rId266"/>
    <hyperlink xmlns:r="http://schemas.openxmlformats.org/officeDocument/2006/relationships" ref="I137" r:id="rId267"/>
    <hyperlink xmlns:r="http://schemas.openxmlformats.org/officeDocument/2006/relationships" ref="J137" r:id="rId268"/>
    <hyperlink xmlns:r="http://schemas.openxmlformats.org/officeDocument/2006/relationships" ref="I138" r:id="rId269"/>
    <hyperlink xmlns:r="http://schemas.openxmlformats.org/officeDocument/2006/relationships" ref="J138" r:id="rId270"/>
    <hyperlink xmlns:r="http://schemas.openxmlformats.org/officeDocument/2006/relationships" ref="I139" r:id="rId271"/>
    <hyperlink xmlns:r="http://schemas.openxmlformats.org/officeDocument/2006/relationships" ref="J139" r:id="rId272"/>
    <hyperlink xmlns:r="http://schemas.openxmlformats.org/officeDocument/2006/relationships" ref="I140" r:id="rId273"/>
    <hyperlink xmlns:r="http://schemas.openxmlformats.org/officeDocument/2006/relationships" ref="J140" r:id="rId274"/>
    <hyperlink xmlns:r="http://schemas.openxmlformats.org/officeDocument/2006/relationships" ref="I141" r:id="rId275"/>
    <hyperlink xmlns:r="http://schemas.openxmlformats.org/officeDocument/2006/relationships" ref="J141" r:id="rId276"/>
    <hyperlink xmlns:r="http://schemas.openxmlformats.org/officeDocument/2006/relationships" ref="I142" r:id="rId277"/>
    <hyperlink xmlns:r="http://schemas.openxmlformats.org/officeDocument/2006/relationships" ref="J142" r:id="rId278"/>
    <hyperlink xmlns:r="http://schemas.openxmlformats.org/officeDocument/2006/relationships" ref="I143" r:id="rId279"/>
    <hyperlink xmlns:r="http://schemas.openxmlformats.org/officeDocument/2006/relationships" ref="J143" r:id="rId280"/>
    <hyperlink xmlns:r="http://schemas.openxmlformats.org/officeDocument/2006/relationships" ref="I144" r:id="rId281"/>
    <hyperlink xmlns:r="http://schemas.openxmlformats.org/officeDocument/2006/relationships" ref="J144" r:id="rId282"/>
    <hyperlink xmlns:r="http://schemas.openxmlformats.org/officeDocument/2006/relationships" ref="I145" r:id="rId283"/>
    <hyperlink xmlns:r="http://schemas.openxmlformats.org/officeDocument/2006/relationships" ref="J145" r:id="rId284"/>
    <hyperlink xmlns:r="http://schemas.openxmlformats.org/officeDocument/2006/relationships" ref="I146" r:id="rId285"/>
    <hyperlink xmlns:r="http://schemas.openxmlformats.org/officeDocument/2006/relationships" ref="J146" r:id="rId286"/>
    <hyperlink xmlns:r="http://schemas.openxmlformats.org/officeDocument/2006/relationships" ref="I147" r:id="rId287"/>
    <hyperlink xmlns:r="http://schemas.openxmlformats.org/officeDocument/2006/relationships" ref="J147" r:id="rId288"/>
    <hyperlink xmlns:r="http://schemas.openxmlformats.org/officeDocument/2006/relationships" ref="I148" r:id="rId289"/>
    <hyperlink xmlns:r="http://schemas.openxmlformats.org/officeDocument/2006/relationships" ref="J148" r:id="rId290"/>
    <hyperlink xmlns:r="http://schemas.openxmlformats.org/officeDocument/2006/relationships" ref="I149" r:id="rId291"/>
    <hyperlink xmlns:r="http://schemas.openxmlformats.org/officeDocument/2006/relationships" ref="J149" r:id="rId292"/>
    <hyperlink xmlns:r="http://schemas.openxmlformats.org/officeDocument/2006/relationships" ref="I150" r:id="rId293"/>
    <hyperlink xmlns:r="http://schemas.openxmlformats.org/officeDocument/2006/relationships" ref="J150" r:id="rId294"/>
    <hyperlink xmlns:r="http://schemas.openxmlformats.org/officeDocument/2006/relationships" ref="I151" r:id="rId295"/>
    <hyperlink xmlns:r="http://schemas.openxmlformats.org/officeDocument/2006/relationships" ref="J151" r:id="rId296"/>
    <hyperlink xmlns:r="http://schemas.openxmlformats.org/officeDocument/2006/relationships" ref="I152" r:id="rId297"/>
    <hyperlink xmlns:r="http://schemas.openxmlformats.org/officeDocument/2006/relationships" ref="J152" r:id="rId298"/>
    <hyperlink xmlns:r="http://schemas.openxmlformats.org/officeDocument/2006/relationships" ref="I153" r:id="rId299"/>
    <hyperlink xmlns:r="http://schemas.openxmlformats.org/officeDocument/2006/relationships" ref="J153" r:id="rId300"/>
    <hyperlink xmlns:r="http://schemas.openxmlformats.org/officeDocument/2006/relationships" ref="I154" r:id="rId301"/>
    <hyperlink xmlns:r="http://schemas.openxmlformats.org/officeDocument/2006/relationships" ref="J154" r:id="rId302"/>
    <hyperlink xmlns:r="http://schemas.openxmlformats.org/officeDocument/2006/relationships" ref="I155" r:id="rId303"/>
    <hyperlink xmlns:r="http://schemas.openxmlformats.org/officeDocument/2006/relationships" ref="J155" r:id="rId304"/>
    <hyperlink xmlns:r="http://schemas.openxmlformats.org/officeDocument/2006/relationships" ref="I156" r:id="rId305"/>
    <hyperlink xmlns:r="http://schemas.openxmlformats.org/officeDocument/2006/relationships" ref="J156" r:id="rId306"/>
    <hyperlink xmlns:r="http://schemas.openxmlformats.org/officeDocument/2006/relationships" ref="I157" r:id="rId307"/>
    <hyperlink xmlns:r="http://schemas.openxmlformats.org/officeDocument/2006/relationships" ref="J157" r:id="rId308"/>
    <hyperlink xmlns:r="http://schemas.openxmlformats.org/officeDocument/2006/relationships" ref="I158" r:id="rId309"/>
    <hyperlink xmlns:r="http://schemas.openxmlformats.org/officeDocument/2006/relationships" ref="J158" r:id="rId310"/>
    <hyperlink xmlns:r="http://schemas.openxmlformats.org/officeDocument/2006/relationships" ref="I159" r:id="rId311"/>
    <hyperlink xmlns:r="http://schemas.openxmlformats.org/officeDocument/2006/relationships" ref="J159" r:id="rId312"/>
    <hyperlink xmlns:r="http://schemas.openxmlformats.org/officeDocument/2006/relationships" ref="I160" r:id="rId313"/>
    <hyperlink xmlns:r="http://schemas.openxmlformats.org/officeDocument/2006/relationships" ref="J160" r:id="rId314"/>
    <hyperlink xmlns:r="http://schemas.openxmlformats.org/officeDocument/2006/relationships" ref="I161" r:id="rId315"/>
    <hyperlink xmlns:r="http://schemas.openxmlformats.org/officeDocument/2006/relationships" ref="J161" r:id="rId316"/>
    <hyperlink xmlns:r="http://schemas.openxmlformats.org/officeDocument/2006/relationships" ref="I162" r:id="rId317"/>
    <hyperlink xmlns:r="http://schemas.openxmlformats.org/officeDocument/2006/relationships" ref="J162" r:id="rId318"/>
    <hyperlink xmlns:r="http://schemas.openxmlformats.org/officeDocument/2006/relationships" ref="I163" r:id="rId319"/>
    <hyperlink xmlns:r="http://schemas.openxmlformats.org/officeDocument/2006/relationships" ref="J163" r:id="rId320"/>
    <hyperlink xmlns:r="http://schemas.openxmlformats.org/officeDocument/2006/relationships" ref="I164" r:id="rId321"/>
    <hyperlink xmlns:r="http://schemas.openxmlformats.org/officeDocument/2006/relationships" ref="J164" r:id="rId322"/>
    <hyperlink xmlns:r="http://schemas.openxmlformats.org/officeDocument/2006/relationships" ref="I165" r:id="rId323"/>
    <hyperlink xmlns:r="http://schemas.openxmlformats.org/officeDocument/2006/relationships" ref="J165" r:id="rId324"/>
    <hyperlink xmlns:r="http://schemas.openxmlformats.org/officeDocument/2006/relationships" ref="I166" r:id="rId325"/>
    <hyperlink xmlns:r="http://schemas.openxmlformats.org/officeDocument/2006/relationships" ref="J166" r:id="rId326"/>
    <hyperlink xmlns:r="http://schemas.openxmlformats.org/officeDocument/2006/relationships" ref="I167" r:id="rId327"/>
    <hyperlink xmlns:r="http://schemas.openxmlformats.org/officeDocument/2006/relationships" ref="J167" r:id="rId328"/>
    <hyperlink xmlns:r="http://schemas.openxmlformats.org/officeDocument/2006/relationships" ref="I168" r:id="rId329"/>
    <hyperlink xmlns:r="http://schemas.openxmlformats.org/officeDocument/2006/relationships" ref="J168" r:id="rId330"/>
    <hyperlink xmlns:r="http://schemas.openxmlformats.org/officeDocument/2006/relationships" ref="I169" r:id="rId331"/>
    <hyperlink xmlns:r="http://schemas.openxmlformats.org/officeDocument/2006/relationships" ref="J169" r:id="rId332"/>
    <hyperlink xmlns:r="http://schemas.openxmlformats.org/officeDocument/2006/relationships" ref="I170" r:id="rId333"/>
    <hyperlink xmlns:r="http://schemas.openxmlformats.org/officeDocument/2006/relationships" ref="J170" r:id="rId334"/>
    <hyperlink xmlns:r="http://schemas.openxmlformats.org/officeDocument/2006/relationships" ref="I171" r:id="rId335"/>
    <hyperlink xmlns:r="http://schemas.openxmlformats.org/officeDocument/2006/relationships" ref="J171" r:id="rId336"/>
    <hyperlink xmlns:r="http://schemas.openxmlformats.org/officeDocument/2006/relationships" ref="I172" r:id="rId337"/>
    <hyperlink xmlns:r="http://schemas.openxmlformats.org/officeDocument/2006/relationships" ref="J172" r:id="rId338"/>
    <hyperlink xmlns:r="http://schemas.openxmlformats.org/officeDocument/2006/relationships" ref="I173" r:id="rId339"/>
    <hyperlink xmlns:r="http://schemas.openxmlformats.org/officeDocument/2006/relationships" ref="J173" r:id="rId340"/>
    <hyperlink xmlns:r="http://schemas.openxmlformats.org/officeDocument/2006/relationships" ref="I174" r:id="rId341"/>
    <hyperlink xmlns:r="http://schemas.openxmlformats.org/officeDocument/2006/relationships" ref="J174" r:id="rId342"/>
    <hyperlink xmlns:r="http://schemas.openxmlformats.org/officeDocument/2006/relationships" ref="I175" r:id="rId343"/>
    <hyperlink xmlns:r="http://schemas.openxmlformats.org/officeDocument/2006/relationships" ref="J175" r:id="rId344"/>
    <hyperlink xmlns:r="http://schemas.openxmlformats.org/officeDocument/2006/relationships" ref="I176" r:id="rId345"/>
    <hyperlink xmlns:r="http://schemas.openxmlformats.org/officeDocument/2006/relationships" ref="J176" r:id="rId346"/>
    <hyperlink xmlns:r="http://schemas.openxmlformats.org/officeDocument/2006/relationships" ref="I177" r:id="rId347"/>
    <hyperlink xmlns:r="http://schemas.openxmlformats.org/officeDocument/2006/relationships" ref="J177" r:id="rId348"/>
    <hyperlink xmlns:r="http://schemas.openxmlformats.org/officeDocument/2006/relationships" ref="I178" r:id="rId349"/>
    <hyperlink xmlns:r="http://schemas.openxmlformats.org/officeDocument/2006/relationships" ref="J178" r:id="rId350"/>
    <hyperlink xmlns:r="http://schemas.openxmlformats.org/officeDocument/2006/relationships" ref="I179" r:id="rId351"/>
    <hyperlink xmlns:r="http://schemas.openxmlformats.org/officeDocument/2006/relationships" ref="J179" r:id="rId352"/>
    <hyperlink xmlns:r="http://schemas.openxmlformats.org/officeDocument/2006/relationships" ref="I180" r:id="rId353"/>
    <hyperlink xmlns:r="http://schemas.openxmlformats.org/officeDocument/2006/relationships" ref="J180" r:id="rId354"/>
    <hyperlink xmlns:r="http://schemas.openxmlformats.org/officeDocument/2006/relationships" ref="I181" r:id="rId355"/>
    <hyperlink xmlns:r="http://schemas.openxmlformats.org/officeDocument/2006/relationships" ref="J181" r:id="rId356"/>
    <hyperlink xmlns:r="http://schemas.openxmlformats.org/officeDocument/2006/relationships" ref="I182" r:id="rId357"/>
    <hyperlink xmlns:r="http://schemas.openxmlformats.org/officeDocument/2006/relationships" ref="J182" r:id="rId358"/>
    <hyperlink xmlns:r="http://schemas.openxmlformats.org/officeDocument/2006/relationships" ref="I183" r:id="rId359"/>
    <hyperlink xmlns:r="http://schemas.openxmlformats.org/officeDocument/2006/relationships" ref="J183" r:id="rId360"/>
    <hyperlink xmlns:r="http://schemas.openxmlformats.org/officeDocument/2006/relationships" ref="I184" r:id="rId361"/>
    <hyperlink xmlns:r="http://schemas.openxmlformats.org/officeDocument/2006/relationships" ref="J184" r:id="rId362"/>
    <hyperlink xmlns:r="http://schemas.openxmlformats.org/officeDocument/2006/relationships" ref="I185" r:id="rId363"/>
    <hyperlink xmlns:r="http://schemas.openxmlformats.org/officeDocument/2006/relationships" ref="J185" r:id="rId364"/>
    <hyperlink xmlns:r="http://schemas.openxmlformats.org/officeDocument/2006/relationships" ref="I186" r:id="rId365"/>
    <hyperlink xmlns:r="http://schemas.openxmlformats.org/officeDocument/2006/relationships" ref="J186" r:id="rId366"/>
    <hyperlink xmlns:r="http://schemas.openxmlformats.org/officeDocument/2006/relationships" ref="I187" r:id="rId367"/>
    <hyperlink xmlns:r="http://schemas.openxmlformats.org/officeDocument/2006/relationships" ref="J187" r:id="rId368"/>
    <hyperlink xmlns:r="http://schemas.openxmlformats.org/officeDocument/2006/relationships" ref="I188" r:id="rId369"/>
    <hyperlink xmlns:r="http://schemas.openxmlformats.org/officeDocument/2006/relationships" ref="J188" r:id="rId370"/>
    <hyperlink xmlns:r="http://schemas.openxmlformats.org/officeDocument/2006/relationships" ref="I189" r:id="rId371"/>
    <hyperlink xmlns:r="http://schemas.openxmlformats.org/officeDocument/2006/relationships" ref="J189" r:id="rId372"/>
    <hyperlink xmlns:r="http://schemas.openxmlformats.org/officeDocument/2006/relationships" ref="I190" r:id="rId373"/>
    <hyperlink xmlns:r="http://schemas.openxmlformats.org/officeDocument/2006/relationships" ref="J190" r:id="rId374"/>
    <hyperlink xmlns:r="http://schemas.openxmlformats.org/officeDocument/2006/relationships" ref="I191" r:id="rId375"/>
    <hyperlink xmlns:r="http://schemas.openxmlformats.org/officeDocument/2006/relationships" ref="J191" r:id="rId376"/>
    <hyperlink xmlns:r="http://schemas.openxmlformats.org/officeDocument/2006/relationships" ref="I192" r:id="rId377"/>
    <hyperlink xmlns:r="http://schemas.openxmlformats.org/officeDocument/2006/relationships" ref="J192" r:id="rId378"/>
    <hyperlink xmlns:r="http://schemas.openxmlformats.org/officeDocument/2006/relationships" ref="I193" r:id="rId379"/>
    <hyperlink xmlns:r="http://schemas.openxmlformats.org/officeDocument/2006/relationships" ref="J193" r:id="rId380"/>
    <hyperlink xmlns:r="http://schemas.openxmlformats.org/officeDocument/2006/relationships" ref="I194" r:id="rId381"/>
    <hyperlink xmlns:r="http://schemas.openxmlformats.org/officeDocument/2006/relationships" ref="J194" r:id="rId382"/>
    <hyperlink xmlns:r="http://schemas.openxmlformats.org/officeDocument/2006/relationships" ref="I195" r:id="rId383"/>
    <hyperlink xmlns:r="http://schemas.openxmlformats.org/officeDocument/2006/relationships" ref="J195" r:id="rId384"/>
    <hyperlink xmlns:r="http://schemas.openxmlformats.org/officeDocument/2006/relationships" ref="I196" r:id="rId385"/>
    <hyperlink xmlns:r="http://schemas.openxmlformats.org/officeDocument/2006/relationships" ref="J196" r:id="rId386"/>
    <hyperlink xmlns:r="http://schemas.openxmlformats.org/officeDocument/2006/relationships" ref="I197" r:id="rId387"/>
    <hyperlink xmlns:r="http://schemas.openxmlformats.org/officeDocument/2006/relationships" ref="J197" r:id="rId388"/>
    <hyperlink xmlns:r="http://schemas.openxmlformats.org/officeDocument/2006/relationships" ref="I198" r:id="rId389"/>
    <hyperlink xmlns:r="http://schemas.openxmlformats.org/officeDocument/2006/relationships" ref="J198" r:id="rId390"/>
    <hyperlink xmlns:r="http://schemas.openxmlformats.org/officeDocument/2006/relationships" ref="I199" r:id="rId391"/>
    <hyperlink xmlns:r="http://schemas.openxmlformats.org/officeDocument/2006/relationships" ref="J199" r:id="rId392"/>
    <hyperlink xmlns:r="http://schemas.openxmlformats.org/officeDocument/2006/relationships" ref="I200" r:id="rId393"/>
    <hyperlink xmlns:r="http://schemas.openxmlformats.org/officeDocument/2006/relationships" ref="J200" r:id="rId394"/>
    <hyperlink xmlns:r="http://schemas.openxmlformats.org/officeDocument/2006/relationships" ref="I201" r:id="rId395"/>
    <hyperlink xmlns:r="http://schemas.openxmlformats.org/officeDocument/2006/relationships" ref="J201" r:id="rId396"/>
    <hyperlink xmlns:r="http://schemas.openxmlformats.org/officeDocument/2006/relationships" ref="I202" r:id="rId397"/>
    <hyperlink xmlns:r="http://schemas.openxmlformats.org/officeDocument/2006/relationships" ref="J202" r:id="rId398"/>
    <hyperlink xmlns:r="http://schemas.openxmlformats.org/officeDocument/2006/relationships" ref="I203" r:id="rId399"/>
    <hyperlink xmlns:r="http://schemas.openxmlformats.org/officeDocument/2006/relationships" ref="J203" r:id="rId400"/>
    <hyperlink xmlns:r="http://schemas.openxmlformats.org/officeDocument/2006/relationships" ref="I204" r:id="rId401"/>
    <hyperlink xmlns:r="http://schemas.openxmlformats.org/officeDocument/2006/relationships" ref="J204" r:id="rId402"/>
    <hyperlink xmlns:r="http://schemas.openxmlformats.org/officeDocument/2006/relationships" ref="I205" r:id="rId403"/>
    <hyperlink xmlns:r="http://schemas.openxmlformats.org/officeDocument/2006/relationships" ref="J205" r:id="rId404"/>
    <hyperlink xmlns:r="http://schemas.openxmlformats.org/officeDocument/2006/relationships" ref="I206" r:id="rId405"/>
    <hyperlink xmlns:r="http://schemas.openxmlformats.org/officeDocument/2006/relationships" ref="J206" r:id="rId406"/>
    <hyperlink xmlns:r="http://schemas.openxmlformats.org/officeDocument/2006/relationships" ref="I207" r:id="rId407"/>
    <hyperlink xmlns:r="http://schemas.openxmlformats.org/officeDocument/2006/relationships" ref="J207" r:id="rId408"/>
    <hyperlink xmlns:r="http://schemas.openxmlformats.org/officeDocument/2006/relationships" ref="I208" r:id="rId409"/>
    <hyperlink xmlns:r="http://schemas.openxmlformats.org/officeDocument/2006/relationships" ref="J208" r:id="rId410"/>
    <hyperlink xmlns:r="http://schemas.openxmlformats.org/officeDocument/2006/relationships" ref="I209" r:id="rId411"/>
    <hyperlink xmlns:r="http://schemas.openxmlformats.org/officeDocument/2006/relationships" ref="J209" r:id="rId412"/>
    <hyperlink xmlns:r="http://schemas.openxmlformats.org/officeDocument/2006/relationships" ref="I210" r:id="rId413"/>
    <hyperlink xmlns:r="http://schemas.openxmlformats.org/officeDocument/2006/relationships" ref="J210" r:id="rId414"/>
    <hyperlink xmlns:r="http://schemas.openxmlformats.org/officeDocument/2006/relationships" ref="I211" r:id="rId415"/>
    <hyperlink xmlns:r="http://schemas.openxmlformats.org/officeDocument/2006/relationships" ref="J211" r:id="rId416"/>
    <hyperlink xmlns:r="http://schemas.openxmlformats.org/officeDocument/2006/relationships" ref="I212" r:id="rId417"/>
    <hyperlink xmlns:r="http://schemas.openxmlformats.org/officeDocument/2006/relationships" ref="J212" r:id="rId418"/>
    <hyperlink xmlns:r="http://schemas.openxmlformats.org/officeDocument/2006/relationships" ref="I213" r:id="rId419"/>
    <hyperlink xmlns:r="http://schemas.openxmlformats.org/officeDocument/2006/relationships" ref="J213" r:id="rId420"/>
    <hyperlink xmlns:r="http://schemas.openxmlformats.org/officeDocument/2006/relationships" ref="I214" r:id="rId421"/>
    <hyperlink xmlns:r="http://schemas.openxmlformats.org/officeDocument/2006/relationships" ref="J214" r:id="rId422"/>
    <hyperlink xmlns:r="http://schemas.openxmlformats.org/officeDocument/2006/relationships" ref="I215" r:id="rId423"/>
    <hyperlink xmlns:r="http://schemas.openxmlformats.org/officeDocument/2006/relationships" ref="J215" r:id="rId424"/>
    <hyperlink xmlns:r="http://schemas.openxmlformats.org/officeDocument/2006/relationships" ref="I216" r:id="rId425"/>
    <hyperlink xmlns:r="http://schemas.openxmlformats.org/officeDocument/2006/relationships" ref="J216" r:id="rId426"/>
    <hyperlink xmlns:r="http://schemas.openxmlformats.org/officeDocument/2006/relationships" ref="I217" r:id="rId427"/>
    <hyperlink xmlns:r="http://schemas.openxmlformats.org/officeDocument/2006/relationships" ref="J217" r:id="rId428"/>
    <hyperlink xmlns:r="http://schemas.openxmlformats.org/officeDocument/2006/relationships" ref="I218" r:id="rId429"/>
    <hyperlink xmlns:r="http://schemas.openxmlformats.org/officeDocument/2006/relationships" ref="J218" r:id="rId430"/>
    <hyperlink xmlns:r="http://schemas.openxmlformats.org/officeDocument/2006/relationships" ref="I219" r:id="rId431"/>
    <hyperlink xmlns:r="http://schemas.openxmlformats.org/officeDocument/2006/relationships" ref="J219" r:id="rId432"/>
    <hyperlink xmlns:r="http://schemas.openxmlformats.org/officeDocument/2006/relationships" ref="I220" r:id="rId433"/>
    <hyperlink xmlns:r="http://schemas.openxmlformats.org/officeDocument/2006/relationships" ref="J220" r:id="rId434"/>
    <hyperlink xmlns:r="http://schemas.openxmlformats.org/officeDocument/2006/relationships" ref="I221" r:id="rId435"/>
    <hyperlink xmlns:r="http://schemas.openxmlformats.org/officeDocument/2006/relationships" ref="J221" r:id="rId436"/>
    <hyperlink xmlns:r="http://schemas.openxmlformats.org/officeDocument/2006/relationships" ref="I222" r:id="rId437"/>
    <hyperlink xmlns:r="http://schemas.openxmlformats.org/officeDocument/2006/relationships" ref="J222" r:id="rId438"/>
    <hyperlink xmlns:r="http://schemas.openxmlformats.org/officeDocument/2006/relationships" ref="I223" r:id="rId439"/>
    <hyperlink xmlns:r="http://schemas.openxmlformats.org/officeDocument/2006/relationships" ref="J223" r:id="rId440"/>
    <hyperlink xmlns:r="http://schemas.openxmlformats.org/officeDocument/2006/relationships" ref="I224" r:id="rId441"/>
    <hyperlink xmlns:r="http://schemas.openxmlformats.org/officeDocument/2006/relationships" ref="J224" r:id="rId442"/>
    <hyperlink xmlns:r="http://schemas.openxmlformats.org/officeDocument/2006/relationships" ref="I225" r:id="rId443"/>
    <hyperlink xmlns:r="http://schemas.openxmlformats.org/officeDocument/2006/relationships" ref="J225" r:id="rId444"/>
    <hyperlink xmlns:r="http://schemas.openxmlformats.org/officeDocument/2006/relationships" ref="I226" r:id="rId445"/>
    <hyperlink xmlns:r="http://schemas.openxmlformats.org/officeDocument/2006/relationships" ref="J226" r:id="rId446"/>
    <hyperlink xmlns:r="http://schemas.openxmlformats.org/officeDocument/2006/relationships" ref="I227" r:id="rId447"/>
    <hyperlink xmlns:r="http://schemas.openxmlformats.org/officeDocument/2006/relationships" ref="J227" r:id="rId448"/>
    <hyperlink xmlns:r="http://schemas.openxmlformats.org/officeDocument/2006/relationships" ref="I228" r:id="rId449"/>
    <hyperlink xmlns:r="http://schemas.openxmlformats.org/officeDocument/2006/relationships" ref="J228" r:id="rId450"/>
    <hyperlink xmlns:r="http://schemas.openxmlformats.org/officeDocument/2006/relationships" ref="I229" r:id="rId451"/>
    <hyperlink xmlns:r="http://schemas.openxmlformats.org/officeDocument/2006/relationships" ref="J229" r:id="rId452"/>
    <hyperlink xmlns:r="http://schemas.openxmlformats.org/officeDocument/2006/relationships" ref="I230" r:id="rId453"/>
    <hyperlink xmlns:r="http://schemas.openxmlformats.org/officeDocument/2006/relationships" ref="J230" r:id="rId454"/>
    <hyperlink xmlns:r="http://schemas.openxmlformats.org/officeDocument/2006/relationships" ref="I231" r:id="rId455"/>
    <hyperlink xmlns:r="http://schemas.openxmlformats.org/officeDocument/2006/relationships" ref="J231" r:id="rId456"/>
    <hyperlink xmlns:r="http://schemas.openxmlformats.org/officeDocument/2006/relationships" ref="I232" r:id="rId457"/>
    <hyperlink xmlns:r="http://schemas.openxmlformats.org/officeDocument/2006/relationships" ref="J232" r:id="rId458"/>
    <hyperlink xmlns:r="http://schemas.openxmlformats.org/officeDocument/2006/relationships" ref="I233" r:id="rId459"/>
    <hyperlink xmlns:r="http://schemas.openxmlformats.org/officeDocument/2006/relationships" ref="J233" r:id="rId460"/>
    <hyperlink xmlns:r="http://schemas.openxmlformats.org/officeDocument/2006/relationships" ref="I234" r:id="rId461"/>
    <hyperlink xmlns:r="http://schemas.openxmlformats.org/officeDocument/2006/relationships" ref="J234" r:id="rId462"/>
    <hyperlink xmlns:r="http://schemas.openxmlformats.org/officeDocument/2006/relationships" ref="I235" r:id="rId463"/>
    <hyperlink xmlns:r="http://schemas.openxmlformats.org/officeDocument/2006/relationships" ref="J235" r:id="rId464"/>
    <hyperlink xmlns:r="http://schemas.openxmlformats.org/officeDocument/2006/relationships" ref="I236" r:id="rId465"/>
    <hyperlink xmlns:r="http://schemas.openxmlformats.org/officeDocument/2006/relationships" ref="J236" r:id="rId466"/>
    <hyperlink xmlns:r="http://schemas.openxmlformats.org/officeDocument/2006/relationships" ref="I237" r:id="rId467"/>
    <hyperlink xmlns:r="http://schemas.openxmlformats.org/officeDocument/2006/relationships" ref="J237" r:id="rId468"/>
    <hyperlink xmlns:r="http://schemas.openxmlformats.org/officeDocument/2006/relationships" ref="I238" r:id="rId469"/>
    <hyperlink xmlns:r="http://schemas.openxmlformats.org/officeDocument/2006/relationships" ref="J238" r:id="rId470"/>
    <hyperlink xmlns:r="http://schemas.openxmlformats.org/officeDocument/2006/relationships" ref="I239" r:id="rId471"/>
    <hyperlink xmlns:r="http://schemas.openxmlformats.org/officeDocument/2006/relationships" ref="J239" r:id="rId472"/>
    <hyperlink xmlns:r="http://schemas.openxmlformats.org/officeDocument/2006/relationships" ref="I240" r:id="rId473"/>
    <hyperlink xmlns:r="http://schemas.openxmlformats.org/officeDocument/2006/relationships" ref="J240" r:id="rId474"/>
    <hyperlink xmlns:r="http://schemas.openxmlformats.org/officeDocument/2006/relationships" ref="I241" r:id="rId475"/>
    <hyperlink xmlns:r="http://schemas.openxmlformats.org/officeDocument/2006/relationships" ref="J241" r:id="rId476"/>
    <hyperlink xmlns:r="http://schemas.openxmlformats.org/officeDocument/2006/relationships" ref="I242" r:id="rId477"/>
    <hyperlink xmlns:r="http://schemas.openxmlformats.org/officeDocument/2006/relationships" ref="J242" r:id="rId478"/>
    <hyperlink xmlns:r="http://schemas.openxmlformats.org/officeDocument/2006/relationships" ref="I243" r:id="rId479"/>
    <hyperlink xmlns:r="http://schemas.openxmlformats.org/officeDocument/2006/relationships" ref="J243" r:id="rId480"/>
    <hyperlink xmlns:r="http://schemas.openxmlformats.org/officeDocument/2006/relationships" ref="I244" r:id="rId481"/>
    <hyperlink xmlns:r="http://schemas.openxmlformats.org/officeDocument/2006/relationships" ref="J244" r:id="rId482"/>
    <hyperlink xmlns:r="http://schemas.openxmlformats.org/officeDocument/2006/relationships" ref="I245" r:id="rId483"/>
    <hyperlink xmlns:r="http://schemas.openxmlformats.org/officeDocument/2006/relationships" ref="J245" r:id="rId484"/>
    <hyperlink xmlns:r="http://schemas.openxmlformats.org/officeDocument/2006/relationships" ref="I246" r:id="rId485"/>
    <hyperlink xmlns:r="http://schemas.openxmlformats.org/officeDocument/2006/relationships" ref="J246" r:id="rId486"/>
    <hyperlink xmlns:r="http://schemas.openxmlformats.org/officeDocument/2006/relationships" ref="I247" r:id="rId487"/>
    <hyperlink xmlns:r="http://schemas.openxmlformats.org/officeDocument/2006/relationships" ref="J247" r:id="rId488"/>
    <hyperlink xmlns:r="http://schemas.openxmlformats.org/officeDocument/2006/relationships" ref="I248" r:id="rId489"/>
    <hyperlink xmlns:r="http://schemas.openxmlformats.org/officeDocument/2006/relationships" ref="J248" r:id="rId490"/>
    <hyperlink xmlns:r="http://schemas.openxmlformats.org/officeDocument/2006/relationships" ref="I249" r:id="rId491"/>
    <hyperlink xmlns:r="http://schemas.openxmlformats.org/officeDocument/2006/relationships" ref="J249" r:id="rId492"/>
    <hyperlink xmlns:r="http://schemas.openxmlformats.org/officeDocument/2006/relationships" ref="I250" r:id="rId493"/>
    <hyperlink xmlns:r="http://schemas.openxmlformats.org/officeDocument/2006/relationships" ref="J250" r:id="rId494"/>
    <hyperlink xmlns:r="http://schemas.openxmlformats.org/officeDocument/2006/relationships" ref="I251" r:id="rId495"/>
    <hyperlink xmlns:r="http://schemas.openxmlformats.org/officeDocument/2006/relationships" ref="J251" r:id="rId496"/>
    <hyperlink xmlns:r="http://schemas.openxmlformats.org/officeDocument/2006/relationships" ref="I252" r:id="rId497"/>
    <hyperlink xmlns:r="http://schemas.openxmlformats.org/officeDocument/2006/relationships" ref="J252" r:id="rId498"/>
    <hyperlink xmlns:r="http://schemas.openxmlformats.org/officeDocument/2006/relationships" ref="I253" r:id="rId499"/>
    <hyperlink xmlns:r="http://schemas.openxmlformats.org/officeDocument/2006/relationships" ref="J253" r:id="rId500"/>
    <hyperlink xmlns:r="http://schemas.openxmlformats.org/officeDocument/2006/relationships" ref="I254" r:id="rId501"/>
    <hyperlink xmlns:r="http://schemas.openxmlformats.org/officeDocument/2006/relationships" ref="J254" r:id="rId502"/>
    <hyperlink xmlns:r="http://schemas.openxmlformats.org/officeDocument/2006/relationships" ref="I255" r:id="rId503"/>
    <hyperlink xmlns:r="http://schemas.openxmlformats.org/officeDocument/2006/relationships" ref="J255" r:id="rId504"/>
    <hyperlink xmlns:r="http://schemas.openxmlformats.org/officeDocument/2006/relationships" ref="I256" r:id="rId505"/>
    <hyperlink xmlns:r="http://schemas.openxmlformats.org/officeDocument/2006/relationships" ref="J256" r:id="rId506"/>
    <hyperlink xmlns:r="http://schemas.openxmlformats.org/officeDocument/2006/relationships" ref="I257" r:id="rId507"/>
    <hyperlink xmlns:r="http://schemas.openxmlformats.org/officeDocument/2006/relationships" ref="J257" r:id="rId508"/>
    <hyperlink xmlns:r="http://schemas.openxmlformats.org/officeDocument/2006/relationships" ref="I258" r:id="rId509"/>
    <hyperlink xmlns:r="http://schemas.openxmlformats.org/officeDocument/2006/relationships" ref="J258" r:id="rId510"/>
    <hyperlink xmlns:r="http://schemas.openxmlformats.org/officeDocument/2006/relationships" ref="I259" r:id="rId511"/>
    <hyperlink xmlns:r="http://schemas.openxmlformats.org/officeDocument/2006/relationships" ref="J259" r:id="rId512"/>
    <hyperlink xmlns:r="http://schemas.openxmlformats.org/officeDocument/2006/relationships" ref="I260" r:id="rId513"/>
    <hyperlink xmlns:r="http://schemas.openxmlformats.org/officeDocument/2006/relationships" ref="J260" r:id="rId514"/>
    <hyperlink xmlns:r="http://schemas.openxmlformats.org/officeDocument/2006/relationships" ref="I261" r:id="rId515"/>
    <hyperlink xmlns:r="http://schemas.openxmlformats.org/officeDocument/2006/relationships" ref="J261" r:id="rId516"/>
    <hyperlink xmlns:r="http://schemas.openxmlformats.org/officeDocument/2006/relationships" ref="I262" r:id="rId517"/>
    <hyperlink xmlns:r="http://schemas.openxmlformats.org/officeDocument/2006/relationships" ref="J262" r:id="rId518"/>
    <hyperlink xmlns:r="http://schemas.openxmlformats.org/officeDocument/2006/relationships" ref="I263" r:id="rId519"/>
    <hyperlink xmlns:r="http://schemas.openxmlformats.org/officeDocument/2006/relationships" ref="J263" r:id="rId520"/>
    <hyperlink xmlns:r="http://schemas.openxmlformats.org/officeDocument/2006/relationships" ref="I264" r:id="rId521"/>
    <hyperlink xmlns:r="http://schemas.openxmlformats.org/officeDocument/2006/relationships" ref="J264" r:id="rId522"/>
    <hyperlink xmlns:r="http://schemas.openxmlformats.org/officeDocument/2006/relationships" ref="I265" r:id="rId523"/>
    <hyperlink xmlns:r="http://schemas.openxmlformats.org/officeDocument/2006/relationships" ref="J265" r:id="rId524"/>
    <hyperlink xmlns:r="http://schemas.openxmlformats.org/officeDocument/2006/relationships" ref="I266" r:id="rId525"/>
    <hyperlink xmlns:r="http://schemas.openxmlformats.org/officeDocument/2006/relationships" ref="J266" r:id="rId526"/>
    <hyperlink xmlns:r="http://schemas.openxmlformats.org/officeDocument/2006/relationships" ref="I267" r:id="rId527"/>
    <hyperlink xmlns:r="http://schemas.openxmlformats.org/officeDocument/2006/relationships" ref="J267" r:id="rId528"/>
    <hyperlink xmlns:r="http://schemas.openxmlformats.org/officeDocument/2006/relationships" ref="I268" r:id="rId529"/>
    <hyperlink xmlns:r="http://schemas.openxmlformats.org/officeDocument/2006/relationships" ref="J268" r:id="rId530"/>
    <hyperlink xmlns:r="http://schemas.openxmlformats.org/officeDocument/2006/relationships" ref="I269" r:id="rId531"/>
    <hyperlink xmlns:r="http://schemas.openxmlformats.org/officeDocument/2006/relationships" ref="J269" r:id="rId532"/>
    <hyperlink xmlns:r="http://schemas.openxmlformats.org/officeDocument/2006/relationships" ref="I270" r:id="rId533"/>
    <hyperlink xmlns:r="http://schemas.openxmlformats.org/officeDocument/2006/relationships" ref="J270" r:id="rId534"/>
    <hyperlink xmlns:r="http://schemas.openxmlformats.org/officeDocument/2006/relationships" ref="I271" r:id="rId535"/>
    <hyperlink xmlns:r="http://schemas.openxmlformats.org/officeDocument/2006/relationships" ref="J271" r:id="rId536"/>
    <hyperlink xmlns:r="http://schemas.openxmlformats.org/officeDocument/2006/relationships" ref="I272" r:id="rId537"/>
    <hyperlink xmlns:r="http://schemas.openxmlformats.org/officeDocument/2006/relationships" ref="J272" r:id="rId538"/>
    <hyperlink xmlns:r="http://schemas.openxmlformats.org/officeDocument/2006/relationships" ref="I273" r:id="rId539"/>
    <hyperlink xmlns:r="http://schemas.openxmlformats.org/officeDocument/2006/relationships" ref="J273" r:id="rId540"/>
    <hyperlink xmlns:r="http://schemas.openxmlformats.org/officeDocument/2006/relationships" ref="I274" r:id="rId541"/>
    <hyperlink xmlns:r="http://schemas.openxmlformats.org/officeDocument/2006/relationships" ref="J274" r:id="rId542"/>
    <hyperlink xmlns:r="http://schemas.openxmlformats.org/officeDocument/2006/relationships" ref="I275" r:id="rId543"/>
    <hyperlink xmlns:r="http://schemas.openxmlformats.org/officeDocument/2006/relationships" ref="J275" r:id="rId544"/>
    <hyperlink xmlns:r="http://schemas.openxmlformats.org/officeDocument/2006/relationships" ref="I276" r:id="rId545"/>
    <hyperlink xmlns:r="http://schemas.openxmlformats.org/officeDocument/2006/relationships" ref="J276" r:id="rId546"/>
    <hyperlink xmlns:r="http://schemas.openxmlformats.org/officeDocument/2006/relationships" ref="I277" r:id="rId547"/>
    <hyperlink xmlns:r="http://schemas.openxmlformats.org/officeDocument/2006/relationships" ref="J277" r:id="rId548"/>
    <hyperlink xmlns:r="http://schemas.openxmlformats.org/officeDocument/2006/relationships" ref="I278" r:id="rId549"/>
    <hyperlink xmlns:r="http://schemas.openxmlformats.org/officeDocument/2006/relationships" ref="J278" r:id="rId550"/>
    <hyperlink xmlns:r="http://schemas.openxmlformats.org/officeDocument/2006/relationships" ref="I279" r:id="rId551"/>
    <hyperlink xmlns:r="http://schemas.openxmlformats.org/officeDocument/2006/relationships" ref="J279" r:id="rId552"/>
    <hyperlink xmlns:r="http://schemas.openxmlformats.org/officeDocument/2006/relationships" ref="I280" r:id="rId553"/>
    <hyperlink xmlns:r="http://schemas.openxmlformats.org/officeDocument/2006/relationships" ref="J280" r:id="rId5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6" customWidth="1" min="4" max="4"/>
    <col width="7" customWidth="1" min="5" max="5"/>
    <col width="11" customWidth="1" min="6" max="6"/>
    <col width="11" customWidth="1" min="7" max="7"/>
    <col width="7" customWidth="1" min="8" max="8"/>
    <col width="11" customWidth="1" min="9" max="9"/>
    <col width="10" customWidth="1" min="10" max="10"/>
    <col width="12" customWidth="1" min="11" max="11"/>
    <col width="16" customWidth="1" min="12" max="12"/>
    <col width="14" customWidth="1" min="13" max="13"/>
    <col width="12" customWidth="1" min="14" max="14"/>
  </cols>
  <sheetData>
    <row r="1" ht="28" customHeight="1">
      <c r="A1" s="1" t="inlineStr">
        <is>
          <t>🧾 每日销售开单  |  输入货号自动带出商品信息</t>
        </is>
      </c>
    </row>
    <row r="2" ht="24" customHeight="1">
      <c r="A2" s="13" t="inlineStr">
        <is>
          <t>日期：</t>
        </is>
      </c>
      <c r="B2" s="14" t="inlineStr">
        <is>
          <t>2026-04-07</t>
        </is>
      </c>
      <c r="C2" s="13" t="inlineStr">
        <is>
          <t>当班人员：</t>
        </is>
      </c>
      <c r="D2" s="15" t="inlineStr">
        <is>
          <t>店员A</t>
        </is>
      </c>
      <c r="F2" s="13" t="inlineStr">
        <is>
          <t>人数：</t>
        </is>
      </c>
      <c r="G2" s="15" t="n">
        <v>1</v>
      </c>
      <c r="H2" s="13" t="inlineStr">
        <is>
          <t>POS核对(¥)：</t>
        </is>
      </c>
      <c r="J2" s="16" t="n">
        <v>0</v>
      </c>
      <c r="K2" s="13" t="inlineStr">
        <is>
          <t>系统合计(¥)：</t>
        </is>
      </c>
      <c r="L2" s="17">
        <f>SUM(K5:K504)</f>
        <v/>
      </c>
      <c r="M2" s="13" t="inlineStr">
        <is>
          <t>差异(¥)：</t>
        </is>
      </c>
      <c r="N2" s="18">
        <f>J2-L2</f>
        <v/>
      </c>
    </row>
    <row r="3" ht="18" customHeight="1">
      <c r="A3" s="2" t="inlineStr">
        <is>
          <t>💡 在【货号】列输入货号 → 商品信息自动填入 → 填【实收金额】→ 每单记录成交人，方便大单奖励核算</t>
        </is>
      </c>
    </row>
    <row r="4" ht="30" customHeight="1">
      <c r="A4" s="3" t="inlineStr">
        <is>
          <t>序号</t>
        </is>
      </c>
      <c r="B4" s="3" t="inlineStr">
        <is>
          <t>货号(SKU)</t>
        </is>
      </c>
      <c r="C4" s="3" t="inlineStr">
        <is>
          <t>商品名称</t>
        </is>
      </c>
      <c r="D4" s="3" t="inlineStr">
        <is>
          <t>颜色</t>
        </is>
      </c>
      <c r="E4" s="3" t="inlineStr">
        <is>
          <t>尺码</t>
        </is>
      </c>
      <c r="F4" s="3" t="inlineStr">
        <is>
          <t>标价(¥)</t>
        </is>
      </c>
      <c r="G4" s="3" t="inlineStr">
        <is>
          <t>实收(¥)</t>
        </is>
      </c>
      <c r="H4" s="3" t="inlineStr">
        <is>
          <t>数量</t>
        </is>
      </c>
      <c r="I4" s="3" t="inlineStr">
        <is>
          <t>小计(¥)</t>
        </is>
      </c>
      <c r="J4" s="3" t="inlineStr">
        <is>
          <t>成交人</t>
        </is>
      </c>
      <c r="K4" s="3" t="inlineStr">
        <is>
          <t>大单奖励(¥)</t>
        </is>
      </c>
      <c r="L4" s="3" t="inlineStr">
        <is>
          <t>备注</t>
        </is>
      </c>
    </row>
    <row r="5" ht="18" customHeight="1">
      <c r="A5" s="19">
        <f>IF(B5="","",ROW()-4)</f>
        <v/>
      </c>
      <c r="B5" s="15" t="n"/>
      <c r="C5" s="20">
        <f>IF(B5="","",IFERROR(VLOOKUP(B5,'📦产品库'!$B$4:$D$9999,2,0),"⚠️未找到"))</f>
        <v/>
      </c>
      <c r="D5" s="21">
        <f>IF(B5="","",IFERROR(VLOOKUP(B5,'📦产品库'!$B$4:$E$9999,4,0),""))</f>
        <v/>
      </c>
      <c r="E5" s="21">
        <f>IF(B5="","",IFERROR(VLOOKUP(B5,'📦产品库'!$B$4:$F$9999,5,0),""))</f>
        <v/>
      </c>
      <c r="F5" s="22">
        <f>IF(B5="","",IFERROR(VLOOKUP(B5,'📦产品库'!$B$4:$G$9999,6,0),""))</f>
        <v/>
      </c>
      <c r="G5" s="16" t="n"/>
      <c r="H5" s="23">
        <f>IF(B5="","",1)</f>
        <v/>
      </c>
      <c r="I5" s="17">
        <f>IF(B5="","",IF(G5&lt;&gt;"",G5*H5,F5*H5))</f>
        <v/>
      </c>
      <c r="J5" s="24" t="n"/>
      <c r="K5" s="18">
        <f>IF(B5="","",IF(G5&gt;=2000,20,IF(G5&gt;=1000,10,0)))</f>
        <v/>
      </c>
      <c r="L5" s="25" t="n"/>
    </row>
    <row r="6" ht="18" customHeight="1">
      <c r="A6" s="26">
        <f>IF(B6="","",ROW()-4)</f>
        <v/>
      </c>
      <c r="B6" s="15" t="n"/>
      <c r="C6" s="20">
        <f>IF(B6="","",IFERROR(VLOOKUP(B6,'📦产品库'!$B$4:$D$9999,2,0),"⚠️未找到"))</f>
        <v/>
      </c>
      <c r="D6" s="21">
        <f>IF(B6="","",IFERROR(VLOOKUP(B6,'📦产品库'!$B$4:$E$9999,4,0),""))</f>
        <v/>
      </c>
      <c r="E6" s="21">
        <f>IF(B6="","",IFERROR(VLOOKUP(B6,'📦产品库'!$B$4:$F$9999,5,0),""))</f>
        <v/>
      </c>
      <c r="F6" s="22">
        <f>IF(B6="","",IFERROR(VLOOKUP(B6,'📦产品库'!$B$4:$G$9999,6,0),""))</f>
        <v/>
      </c>
      <c r="G6" s="16" t="n"/>
      <c r="H6" s="23">
        <f>IF(B6="","",1)</f>
        <v/>
      </c>
      <c r="I6" s="17">
        <f>IF(B6="","",IF(G6&lt;&gt;"",G6*H6,F6*H6))</f>
        <v/>
      </c>
      <c r="J6" s="24" t="n"/>
      <c r="K6" s="18">
        <f>IF(B6="","",IF(G6&gt;=2000,20,IF(G6&gt;=1000,10,0)))</f>
        <v/>
      </c>
      <c r="L6" s="27" t="n"/>
    </row>
    <row r="7" ht="18" customHeight="1">
      <c r="A7" s="19">
        <f>IF(B7="","",ROW()-4)</f>
        <v/>
      </c>
      <c r="B7" s="15" t="n"/>
      <c r="C7" s="20">
        <f>IF(B7="","",IFERROR(VLOOKUP(B7,'📦产品库'!$B$4:$D$9999,2,0),"⚠️未找到"))</f>
        <v/>
      </c>
      <c r="D7" s="21">
        <f>IF(B7="","",IFERROR(VLOOKUP(B7,'📦产品库'!$B$4:$E$9999,4,0),""))</f>
        <v/>
      </c>
      <c r="E7" s="21">
        <f>IF(B7="","",IFERROR(VLOOKUP(B7,'📦产品库'!$B$4:$F$9999,5,0),""))</f>
        <v/>
      </c>
      <c r="F7" s="22">
        <f>IF(B7="","",IFERROR(VLOOKUP(B7,'📦产品库'!$B$4:$G$9999,6,0),""))</f>
        <v/>
      </c>
      <c r="G7" s="16" t="n"/>
      <c r="H7" s="23">
        <f>IF(B7="","",1)</f>
        <v/>
      </c>
      <c r="I7" s="17">
        <f>IF(B7="","",IF(G7&lt;&gt;"",G7*H7,F7*H7))</f>
        <v/>
      </c>
      <c r="J7" s="24" t="n"/>
      <c r="K7" s="18">
        <f>IF(B7="","",IF(G7&gt;=2000,20,IF(G7&gt;=1000,10,0)))</f>
        <v/>
      </c>
      <c r="L7" s="25" t="n"/>
    </row>
    <row r="8" ht="18" customHeight="1">
      <c r="A8" s="26">
        <f>IF(B8="","",ROW()-4)</f>
        <v/>
      </c>
      <c r="B8" s="15" t="n"/>
      <c r="C8" s="20">
        <f>IF(B8="","",IFERROR(VLOOKUP(B8,'📦产品库'!$B$4:$D$9999,2,0),"⚠️未找到"))</f>
        <v/>
      </c>
      <c r="D8" s="21">
        <f>IF(B8="","",IFERROR(VLOOKUP(B8,'📦产品库'!$B$4:$E$9999,4,0),""))</f>
        <v/>
      </c>
      <c r="E8" s="21">
        <f>IF(B8="","",IFERROR(VLOOKUP(B8,'📦产品库'!$B$4:$F$9999,5,0),""))</f>
        <v/>
      </c>
      <c r="F8" s="22">
        <f>IF(B8="","",IFERROR(VLOOKUP(B8,'📦产品库'!$B$4:$G$9999,6,0),""))</f>
        <v/>
      </c>
      <c r="G8" s="16" t="n"/>
      <c r="H8" s="23">
        <f>IF(B8="","",1)</f>
        <v/>
      </c>
      <c r="I8" s="17">
        <f>IF(B8="","",IF(G8&lt;&gt;"",G8*H8,F8*H8))</f>
        <v/>
      </c>
      <c r="J8" s="24" t="n"/>
      <c r="K8" s="18">
        <f>IF(B8="","",IF(G8&gt;=2000,20,IF(G8&gt;=1000,10,0)))</f>
        <v/>
      </c>
      <c r="L8" s="27" t="n"/>
    </row>
    <row r="9" ht="18" customHeight="1">
      <c r="A9" s="19">
        <f>IF(B9="","",ROW()-4)</f>
        <v/>
      </c>
      <c r="B9" s="15" t="n"/>
      <c r="C9" s="20">
        <f>IF(B9="","",IFERROR(VLOOKUP(B9,'📦产品库'!$B$4:$D$9999,2,0),"⚠️未找到"))</f>
        <v/>
      </c>
      <c r="D9" s="21">
        <f>IF(B9="","",IFERROR(VLOOKUP(B9,'📦产品库'!$B$4:$E$9999,4,0),""))</f>
        <v/>
      </c>
      <c r="E9" s="21">
        <f>IF(B9="","",IFERROR(VLOOKUP(B9,'📦产品库'!$B$4:$F$9999,5,0),""))</f>
        <v/>
      </c>
      <c r="F9" s="22">
        <f>IF(B9="","",IFERROR(VLOOKUP(B9,'📦产品库'!$B$4:$G$9999,6,0),""))</f>
        <v/>
      </c>
      <c r="G9" s="16" t="n"/>
      <c r="H9" s="23">
        <f>IF(B9="","",1)</f>
        <v/>
      </c>
      <c r="I9" s="17">
        <f>IF(B9="","",IF(G9&lt;&gt;"",G9*H9,F9*H9))</f>
        <v/>
      </c>
      <c r="J9" s="24" t="n"/>
      <c r="K9" s="18">
        <f>IF(B9="","",IF(G9&gt;=2000,20,IF(G9&gt;=1000,10,0)))</f>
        <v/>
      </c>
      <c r="L9" s="25" t="n"/>
    </row>
    <row r="10" ht="18" customHeight="1">
      <c r="A10" s="26">
        <f>IF(B10="","",ROW()-4)</f>
        <v/>
      </c>
      <c r="B10" s="15" t="n"/>
      <c r="C10" s="20">
        <f>IF(B10="","",IFERROR(VLOOKUP(B10,'📦产品库'!$B$4:$D$9999,2,0),"⚠️未找到"))</f>
        <v/>
      </c>
      <c r="D10" s="21">
        <f>IF(B10="","",IFERROR(VLOOKUP(B10,'📦产品库'!$B$4:$E$9999,4,0),""))</f>
        <v/>
      </c>
      <c r="E10" s="21">
        <f>IF(B10="","",IFERROR(VLOOKUP(B10,'📦产品库'!$B$4:$F$9999,5,0),""))</f>
        <v/>
      </c>
      <c r="F10" s="22">
        <f>IF(B10="","",IFERROR(VLOOKUP(B10,'📦产品库'!$B$4:$G$9999,6,0),""))</f>
        <v/>
      </c>
      <c r="G10" s="16" t="n"/>
      <c r="H10" s="23">
        <f>IF(B10="","",1)</f>
        <v/>
      </c>
      <c r="I10" s="17">
        <f>IF(B10="","",IF(G10&lt;&gt;"",G10*H10,F10*H10))</f>
        <v/>
      </c>
      <c r="J10" s="24" t="n"/>
      <c r="K10" s="18">
        <f>IF(B10="","",IF(G10&gt;=2000,20,IF(G10&gt;=1000,10,0)))</f>
        <v/>
      </c>
      <c r="L10" s="27" t="n"/>
    </row>
    <row r="11" ht="18" customHeight="1">
      <c r="A11" s="19">
        <f>IF(B11="","",ROW()-4)</f>
        <v/>
      </c>
      <c r="B11" s="15" t="n"/>
      <c r="C11" s="20">
        <f>IF(B11="","",IFERROR(VLOOKUP(B11,'📦产品库'!$B$4:$D$9999,2,0),"⚠️未找到"))</f>
        <v/>
      </c>
      <c r="D11" s="21">
        <f>IF(B11="","",IFERROR(VLOOKUP(B11,'📦产品库'!$B$4:$E$9999,4,0),""))</f>
        <v/>
      </c>
      <c r="E11" s="21">
        <f>IF(B11="","",IFERROR(VLOOKUP(B11,'📦产品库'!$B$4:$F$9999,5,0),""))</f>
        <v/>
      </c>
      <c r="F11" s="22">
        <f>IF(B11="","",IFERROR(VLOOKUP(B11,'📦产品库'!$B$4:$G$9999,6,0),""))</f>
        <v/>
      </c>
      <c r="G11" s="16" t="n"/>
      <c r="H11" s="23">
        <f>IF(B11="","",1)</f>
        <v/>
      </c>
      <c r="I11" s="17">
        <f>IF(B11="","",IF(G11&lt;&gt;"",G11*H11,F11*H11))</f>
        <v/>
      </c>
      <c r="J11" s="24" t="n"/>
      <c r="K11" s="18">
        <f>IF(B11="","",IF(G11&gt;=2000,20,IF(G11&gt;=1000,10,0)))</f>
        <v/>
      </c>
      <c r="L11" s="25" t="n"/>
    </row>
    <row r="12" ht="18" customHeight="1">
      <c r="A12" s="26">
        <f>IF(B12="","",ROW()-4)</f>
        <v/>
      </c>
      <c r="B12" s="15" t="n"/>
      <c r="C12" s="20">
        <f>IF(B12="","",IFERROR(VLOOKUP(B12,'📦产品库'!$B$4:$D$9999,2,0),"⚠️未找到"))</f>
        <v/>
      </c>
      <c r="D12" s="21">
        <f>IF(B12="","",IFERROR(VLOOKUP(B12,'📦产品库'!$B$4:$E$9999,4,0),""))</f>
        <v/>
      </c>
      <c r="E12" s="21">
        <f>IF(B12="","",IFERROR(VLOOKUP(B12,'📦产品库'!$B$4:$F$9999,5,0),""))</f>
        <v/>
      </c>
      <c r="F12" s="22">
        <f>IF(B12="","",IFERROR(VLOOKUP(B12,'📦产品库'!$B$4:$G$9999,6,0),""))</f>
        <v/>
      </c>
      <c r="G12" s="16" t="n"/>
      <c r="H12" s="23">
        <f>IF(B12="","",1)</f>
        <v/>
      </c>
      <c r="I12" s="17">
        <f>IF(B12="","",IF(G12&lt;&gt;"",G12*H12,F12*H12))</f>
        <v/>
      </c>
      <c r="J12" s="24" t="n"/>
      <c r="K12" s="18">
        <f>IF(B12="","",IF(G12&gt;=2000,20,IF(G12&gt;=1000,10,0)))</f>
        <v/>
      </c>
      <c r="L12" s="27" t="n"/>
    </row>
    <row r="13" ht="18" customHeight="1">
      <c r="A13" s="19">
        <f>IF(B13="","",ROW()-4)</f>
        <v/>
      </c>
      <c r="B13" s="15" t="n"/>
      <c r="C13" s="20">
        <f>IF(B13="","",IFERROR(VLOOKUP(B13,'📦产品库'!$B$4:$D$9999,2,0),"⚠️未找到"))</f>
        <v/>
      </c>
      <c r="D13" s="21">
        <f>IF(B13="","",IFERROR(VLOOKUP(B13,'📦产品库'!$B$4:$E$9999,4,0),""))</f>
        <v/>
      </c>
      <c r="E13" s="21">
        <f>IF(B13="","",IFERROR(VLOOKUP(B13,'📦产品库'!$B$4:$F$9999,5,0),""))</f>
        <v/>
      </c>
      <c r="F13" s="22">
        <f>IF(B13="","",IFERROR(VLOOKUP(B13,'📦产品库'!$B$4:$G$9999,6,0),""))</f>
        <v/>
      </c>
      <c r="G13" s="16" t="n"/>
      <c r="H13" s="23">
        <f>IF(B13="","",1)</f>
        <v/>
      </c>
      <c r="I13" s="17">
        <f>IF(B13="","",IF(G13&lt;&gt;"",G13*H13,F13*H13))</f>
        <v/>
      </c>
      <c r="J13" s="24" t="n"/>
      <c r="K13" s="18">
        <f>IF(B13="","",IF(G13&gt;=2000,20,IF(G13&gt;=1000,10,0)))</f>
        <v/>
      </c>
      <c r="L13" s="25" t="n"/>
    </row>
    <row r="14" ht="18" customHeight="1">
      <c r="A14" s="26">
        <f>IF(B14="","",ROW()-4)</f>
        <v/>
      </c>
      <c r="B14" s="15" t="n"/>
      <c r="C14" s="20">
        <f>IF(B14="","",IFERROR(VLOOKUP(B14,'📦产品库'!$B$4:$D$9999,2,0),"⚠️未找到"))</f>
        <v/>
      </c>
      <c r="D14" s="21">
        <f>IF(B14="","",IFERROR(VLOOKUP(B14,'📦产品库'!$B$4:$E$9999,4,0),""))</f>
        <v/>
      </c>
      <c r="E14" s="21">
        <f>IF(B14="","",IFERROR(VLOOKUP(B14,'📦产品库'!$B$4:$F$9999,5,0),""))</f>
        <v/>
      </c>
      <c r="F14" s="22">
        <f>IF(B14="","",IFERROR(VLOOKUP(B14,'📦产品库'!$B$4:$G$9999,6,0),""))</f>
        <v/>
      </c>
      <c r="G14" s="16" t="n"/>
      <c r="H14" s="23">
        <f>IF(B14="","",1)</f>
        <v/>
      </c>
      <c r="I14" s="17">
        <f>IF(B14="","",IF(G14&lt;&gt;"",G14*H14,F14*H14))</f>
        <v/>
      </c>
      <c r="J14" s="24" t="n"/>
      <c r="K14" s="18">
        <f>IF(B14="","",IF(G14&gt;=2000,20,IF(G14&gt;=1000,10,0)))</f>
        <v/>
      </c>
      <c r="L14" s="27" t="n"/>
    </row>
    <row r="15" ht="18" customHeight="1">
      <c r="A15" s="19">
        <f>IF(B15="","",ROW()-4)</f>
        <v/>
      </c>
      <c r="B15" s="15" t="n"/>
      <c r="C15" s="20">
        <f>IF(B15="","",IFERROR(VLOOKUP(B15,'📦产品库'!$B$4:$D$9999,2,0),"⚠️未找到"))</f>
        <v/>
      </c>
      <c r="D15" s="21">
        <f>IF(B15="","",IFERROR(VLOOKUP(B15,'📦产品库'!$B$4:$E$9999,4,0),""))</f>
        <v/>
      </c>
      <c r="E15" s="21">
        <f>IF(B15="","",IFERROR(VLOOKUP(B15,'📦产品库'!$B$4:$F$9999,5,0),""))</f>
        <v/>
      </c>
      <c r="F15" s="22">
        <f>IF(B15="","",IFERROR(VLOOKUP(B15,'📦产品库'!$B$4:$G$9999,6,0),""))</f>
        <v/>
      </c>
      <c r="G15" s="16" t="n"/>
      <c r="H15" s="23">
        <f>IF(B15="","",1)</f>
        <v/>
      </c>
      <c r="I15" s="17">
        <f>IF(B15="","",IF(G15&lt;&gt;"",G15*H15,F15*H15))</f>
        <v/>
      </c>
      <c r="J15" s="24" t="n"/>
      <c r="K15" s="18">
        <f>IF(B15="","",IF(G15&gt;=2000,20,IF(G15&gt;=1000,10,0)))</f>
        <v/>
      </c>
      <c r="L15" s="25" t="n"/>
    </row>
    <row r="16" ht="18" customHeight="1">
      <c r="A16" s="26">
        <f>IF(B16="","",ROW()-4)</f>
        <v/>
      </c>
      <c r="B16" s="15" t="n"/>
      <c r="C16" s="20">
        <f>IF(B16="","",IFERROR(VLOOKUP(B16,'📦产品库'!$B$4:$D$9999,2,0),"⚠️未找到"))</f>
        <v/>
      </c>
      <c r="D16" s="21">
        <f>IF(B16="","",IFERROR(VLOOKUP(B16,'📦产品库'!$B$4:$E$9999,4,0),""))</f>
        <v/>
      </c>
      <c r="E16" s="21">
        <f>IF(B16="","",IFERROR(VLOOKUP(B16,'📦产品库'!$B$4:$F$9999,5,0),""))</f>
        <v/>
      </c>
      <c r="F16" s="22">
        <f>IF(B16="","",IFERROR(VLOOKUP(B16,'📦产品库'!$B$4:$G$9999,6,0),""))</f>
        <v/>
      </c>
      <c r="G16" s="16" t="n"/>
      <c r="H16" s="23">
        <f>IF(B16="","",1)</f>
        <v/>
      </c>
      <c r="I16" s="17">
        <f>IF(B16="","",IF(G16&lt;&gt;"",G16*H16,F16*H16))</f>
        <v/>
      </c>
      <c r="J16" s="24" t="n"/>
      <c r="K16" s="18">
        <f>IF(B16="","",IF(G16&gt;=2000,20,IF(G16&gt;=1000,10,0)))</f>
        <v/>
      </c>
      <c r="L16" s="27" t="n"/>
    </row>
    <row r="17" ht="18" customHeight="1">
      <c r="A17" s="19">
        <f>IF(B17="","",ROW()-4)</f>
        <v/>
      </c>
      <c r="B17" s="15" t="n"/>
      <c r="C17" s="20">
        <f>IF(B17="","",IFERROR(VLOOKUP(B17,'📦产品库'!$B$4:$D$9999,2,0),"⚠️未找到"))</f>
        <v/>
      </c>
      <c r="D17" s="21">
        <f>IF(B17="","",IFERROR(VLOOKUP(B17,'📦产品库'!$B$4:$E$9999,4,0),""))</f>
        <v/>
      </c>
      <c r="E17" s="21">
        <f>IF(B17="","",IFERROR(VLOOKUP(B17,'📦产品库'!$B$4:$F$9999,5,0),""))</f>
        <v/>
      </c>
      <c r="F17" s="22">
        <f>IF(B17="","",IFERROR(VLOOKUP(B17,'📦产品库'!$B$4:$G$9999,6,0),""))</f>
        <v/>
      </c>
      <c r="G17" s="16" t="n"/>
      <c r="H17" s="23">
        <f>IF(B17="","",1)</f>
        <v/>
      </c>
      <c r="I17" s="17">
        <f>IF(B17="","",IF(G17&lt;&gt;"",G17*H17,F17*H17))</f>
        <v/>
      </c>
      <c r="J17" s="24" t="n"/>
      <c r="K17" s="18">
        <f>IF(B17="","",IF(G17&gt;=2000,20,IF(G17&gt;=1000,10,0)))</f>
        <v/>
      </c>
      <c r="L17" s="25" t="n"/>
    </row>
    <row r="18" ht="18" customHeight="1">
      <c r="A18" s="26">
        <f>IF(B18="","",ROW()-4)</f>
        <v/>
      </c>
      <c r="B18" s="15" t="n"/>
      <c r="C18" s="20">
        <f>IF(B18="","",IFERROR(VLOOKUP(B18,'📦产品库'!$B$4:$D$9999,2,0),"⚠️未找到"))</f>
        <v/>
      </c>
      <c r="D18" s="21">
        <f>IF(B18="","",IFERROR(VLOOKUP(B18,'📦产品库'!$B$4:$E$9999,4,0),""))</f>
        <v/>
      </c>
      <c r="E18" s="21">
        <f>IF(B18="","",IFERROR(VLOOKUP(B18,'📦产品库'!$B$4:$F$9999,5,0),""))</f>
        <v/>
      </c>
      <c r="F18" s="22">
        <f>IF(B18="","",IFERROR(VLOOKUP(B18,'📦产品库'!$B$4:$G$9999,6,0),""))</f>
        <v/>
      </c>
      <c r="G18" s="16" t="n"/>
      <c r="H18" s="23">
        <f>IF(B18="","",1)</f>
        <v/>
      </c>
      <c r="I18" s="17">
        <f>IF(B18="","",IF(G18&lt;&gt;"",G18*H18,F18*H18))</f>
        <v/>
      </c>
      <c r="J18" s="24" t="n"/>
      <c r="K18" s="18">
        <f>IF(B18="","",IF(G18&gt;=2000,20,IF(G18&gt;=1000,10,0)))</f>
        <v/>
      </c>
      <c r="L18" s="27" t="n"/>
    </row>
    <row r="19" ht="18" customHeight="1">
      <c r="A19" s="19">
        <f>IF(B19="","",ROW()-4)</f>
        <v/>
      </c>
      <c r="B19" s="15" t="n"/>
      <c r="C19" s="20">
        <f>IF(B19="","",IFERROR(VLOOKUP(B19,'📦产品库'!$B$4:$D$9999,2,0),"⚠️未找到"))</f>
        <v/>
      </c>
      <c r="D19" s="21">
        <f>IF(B19="","",IFERROR(VLOOKUP(B19,'📦产品库'!$B$4:$E$9999,4,0),""))</f>
        <v/>
      </c>
      <c r="E19" s="21">
        <f>IF(B19="","",IFERROR(VLOOKUP(B19,'📦产品库'!$B$4:$F$9999,5,0),""))</f>
        <v/>
      </c>
      <c r="F19" s="22">
        <f>IF(B19="","",IFERROR(VLOOKUP(B19,'📦产品库'!$B$4:$G$9999,6,0),""))</f>
        <v/>
      </c>
      <c r="G19" s="16" t="n"/>
      <c r="H19" s="23">
        <f>IF(B19="","",1)</f>
        <v/>
      </c>
      <c r="I19" s="17">
        <f>IF(B19="","",IF(G19&lt;&gt;"",G19*H19,F19*H19))</f>
        <v/>
      </c>
      <c r="J19" s="24" t="n"/>
      <c r="K19" s="18">
        <f>IF(B19="","",IF(G19&gt;=2000,20,IF(G19&gt;=1000,10,0)))</f>
        <v/>
      </c>
      <c r="L19" s="25" t="n"/>
    </row>
    <row r="20" ht="18" customHeight="1">
      <c r="A20" s="26">
        <f>IF(B20="","",ROW()-4)</f>
        <v/>
      </c>
      <c r="B20" s="15" t="n"/>
      <c r="C20" s="20">
        <f>IF(B20="","",IFERROR(VLOOKUP(B20,'📦产品库'!$B$4:$D$9999,2,0),"⚠️未找到"))</f>
        <v/>
      </c>
      <c r="D20" s="21">
        <f>IF(B20="","",IFERROR(VLOOKUP(B20,'📦产品库'!$B$4:$E$9999,4,0),""))</f>
        <v/>
      </c>
      <c r="E20" s="21">
        <f>IF(B20="","",IFERROR(VLOOKUP(B20,'📦产品库'!$B$4:$F$9999,5,0),""))</f>
        <v/>
      </c>
      <c r="F20" s="22">
        <f>IF(B20="","",IFERROR(VLOOKUP(B20,'📦产品库'!$B$4:$G$9999,6,0),""))</f>
        <v/>
      </c>
      <c r="G20" s="16" t="n"/>
      <c r="H20" s="23">
        <f>IF(B20="","",1)</f>
        <v/>
      </c>
      <c r="I20" s="17">
        <f>IF(B20="","",IF(G20&lt;&gt;"",G20*H20,F20*H20))</f>
        <v/>
      </c>
      <c r="J20" s="24" t="n"/>
      <c r="K20" s="18">
        <f>IF(B20="","",IF(G20&gt;=2000,20,IF(G20&gt;=1000,10,0)))</f>
        <v/>
      </c>
      <c r="L20" s="27" t="n"/>
    </row>
    <row r="21" ht="18" customHeight="1">
      <c r="A21" s="19">
        <f>IF(B21="","",ROW()-4)</f>
        <v/>
      </c>
      <c r="B21" s="15" t="n"/>
      <c r="C21" s="20">
        <f>IF(B21="","",IFERROR(VLOOKUP(B21,'📦产品库'!$B$4:$D$9999,2,0),"⚠️未找到"))</f>
        <v/>
      </c>
      <c r="D21" s="21">
        <f>IF(B21="","",IFERROR(VLOOKUP(B21,'📦产品库'!$B$4:$E$9999,4,0),""))</f>
        <v/>
      </c>
      <c r="E21" s="21">
        <f>IF(B21="","",IFERROR(VLOOKUP(B21,'📦产品库'!$B$4:$F$9999,5,0),""))</f>
        <v/>
      </c>
      <c r="F21" s="22">
        <f>IF(B21="","",IFERROR(VLOOKUP(B21,'📦产品库'!$B$4:$G$9999,6,0),""))</f>
        <v/>
      </c>
      <c r="G21" s="16" t="n"/>
      <c r="H21" s="23">
        <f>IF(B21="","",1)</f>
        <v/>
      </c>
      <c r="I21" s="17">
        <f>IF(B21="","",IF(G21&lt;&gt;"",G21*H21,F21*H21))</f>
        <v/>
      </c>
      <c r="J21" s="24" t="n"/>
      <c r="K21" s="18">
        <f>IF(B21="","",IF(G21&gt;=2000,20,IF(G21&gt;=1000,10,0)))</f>
        <v/>
      </c>
      <c r="L21" s="25" t="n"/>
    </row>
    <row r="22" ht="18" customHeight="1">
      <c r="A22" s="26">
        <f>IF(B22="","",ROW()-4)</f>
        <v/>
      </c>
      <c r="B22" s="15" t="n"/>
      <c r="C22" s="20">
        <f>IF(B22="","",IFERROR(VLOOKUP(B22,'📦产品库'!$B$4:$D$9999,2,0),"⚠️未找到"))</f>
        <v/>
      </c>
      <c r="D22" s="21">
        <f>IF(B22="","",IFERROR(VLOOKUP(B22,'📦产品库'!$B$4:$E$9999,4,0),""))</f>
        <v/>
      </c>
      <c r="E22" s="21">
        <f>IF(B22="","",IFERROR(VLOOKUP(B22,'📦产品库'!$B$4:$F$9999,5,0),""))</f>
        <v/>
      </c>
      <c r="F22" s="22">
        <f>IF(B22="","",IFERROR(VLOOKUP(B22,'📦产品库'!$B$4:$G$9999,6,0),""))</f>
        <v/>
      </c>
      <c r="G22" s="16" t="n"/>
      <c r="H22" s="23">
        <f>IF(B22="","",1)</f>
        <v/>
      </c>
      <c r="I22" s="17">
        <f>IF(B22="","",IF(G22&lt;&gt;"",G22*H22,F22*H22))</f>
        <v/>
      </c>
      <c r="J22" s="24" t="n"/>
      <c r="K22" s="18">
        <f>IF(B22="","",IF(G22&gt;=2000,20,IF(G22&gt;=1000,10,0)))</f>
        <v/>
      </c>
      <c r="L22" s="27" t="n"/>
    </row>
    <row r="23" ht="18" customHeight="1">
      <c r="A23" s="19">
        <f>IF(B23="","",ROW()-4)</f>
        <v/>
      </c>
      <c r="B23" s="15" t="n"/>
      <c r="C23" s="20">
        <f>IF(B23="","",IFERROR(VLOOKUP(B23,'📦产品库'!$B$4:$D$9999,2,0),"⚠️未找到"))</f>
        <v/>
      </c>
      <c r="D23" s="21">
        <f>IF(B23="","",IFERROR(VLOOKUP(B23,'📦产品库'!$B$4:$E$9999,4,0),""))</f>
        <v/>
      </c>
      <c r="E23" s="21">
        <f>IF(B23="","",IFERROR(VLOOKUP(B23,'📦产品库'!$B$4:$F$9999,5,0),""))</f>
        <v/>
      </c>
      <c r="F23" s="22">
        <f>IF(B23="","",IFERROR(VLOOKUP(B23,'📦产品库'!$B$4:$G$9999,6,0),""))</f>
        <v/>
      </c>
      <c r="G23" s="16" t="n"/>
      <c r="H23" s="23">
        <f>IF(B23="","",1)</f>
        <v/>
      </c>
      <c r="I23" s="17">
        <f>IF(B23="","",IF(G23&lt;&gt;"",G23*H23,F23*H23))</f>
        <v/>
      </c>
      <c r="J23" s="24" t="n"/>
      <c r="K23" s="18">
        <f>IF(B23="","",IF(G23&gt;=2000,20,IF(G23&gt;=1000,10,0)))</f>
        <v/>
      </c>
      <c r="L23" s="25" t="n"/>
    </row>
    <row r="24" ht="18" customHeight="1">
      <c r="A24" s="26">
        <f>IF(B24="","",ROW()-4)</f>
        <v/>
      </c>
      <c r="B24" s="15" t="n"/>
      <c r="C24" s="20">
        <f>IF(B24="","",IFERROR(VLOOKUP(B24,'📦产品库'!$B$4:$D$9999,2,0),"⚠️未找到"))</f>
        <v/>
      </c>
      <c r="D24" s="21">
        <f>IF(B24="","",IFERROR(VLOOKUP(B24,'📦产品库'!$B$4:$E$9999,4,0),""))</f>
        <v/>
      </c>
      <c r="E24" s="21">
        <f>IF(B24="","",IFERROR(VLOOKUP(B24,'📦产品库'!$B$4:$F$9999,5,0),""))</f>
        <v/>
      </c>
      <c r="F24" s="22">
        <f>IF(B24="","",IFERROR(VLOOKUP(B24,'📦产品库'!$B$4:$G$9999,6,0),""))</f>
        <v/>
      </c>
      <c r="G24" s="16" t="n"/>
      <c r="H24" s="23">
        <f>IF(B24="","",1)</f>
        <v/>
      </c>
      <c r="I24" s="17">
        <f>IF(B24="","",IF(G24&lt;&gt;"",G24*H24,F24*H24))</f>
        <v/>
      </c>
      <c r="J24" s="24" t="n"/>
      <c r="K24" s="18">
        <f>IF(B24="","",IF(G24&gt;=2000,20,IF(G24&gt;=1000,10,0)))</f>
        <v/>
      </c>
      <c r="L24" s="27" t="n"/>
    </row>
    <row r="25" ht="18" customHeight="1">
      <c r="A25" s="19">
        <f>IF(B25="","",ROW()-4)</f>
        <v/>
      </c>
      <c r="B25" s="15" t="n"/>
      <c r="C25" s="20">
        <f>IF(B25="","",IFERROR(VLOOKUP(B25,'📦产品库'!$B$4:$D$9999,2,0),"⚠️未找到"))</f>
        <v/>
      </c>
      <c r="D25" s="21">
        <f>IF(B25="","",IFERROR(VLOOKUP(B25,'📦产品库'!$B$4:$E$9999,4,0),""))</f>
        <v/>
      </c>
      <c r="E25" s="21">
        <f>IF(B25="","",IFERROR(VLOOKUP(B25,'📦产品库'!$B$4:$F$9999,5,0),""))</f>
        <v/>
      </c>
      <c r="F25" s="22">
        <f>IF(B25="","",IFERROR(VLOOKUP(B25,'📦产品库'!$B$4:$G$9999,6,0),""))</f>
        <v/>
      </c>
      <c r="G25" s="16" t="n"/>
      <c r="H25" s="23">
        <f>IF(B25="","",1)</f>
        <v/>
      </c>
      <c r="I25" s="17">
        <f>IF(B25="","",IF(G25&lt;&gt;"",G25*H25,F25*H25))</f>
        <v/>
      </c>
      <c r="J25" s="24" t="n"/>
      <c r="K25" s="18">
        <f>IF(B25="","",IF(G25&gt;=2000,20,IF(G25&gt;=1000,10,0)))</f>
        <v/>
      </c>
      <c r="L25" s="25" t="n"/>
    </row>
    <row r="26" ht="18" customHeight="1">
      <c r="A26" s="26">
        <f>IF(B26="","",ROW()-4)</f>
        <v/>
      </c>
      <c r="B26" s="15" t="n"/>
      <c r="C26" s="20">
        <f>IF(B26="","",IFERROR(VLOOKUP(B26,'📦产品库'!$B$4:$D$9999,2,0),"⚠️未找到"))</f>
        <v/>
      </c>
      <c r="D26" s="21">
        <f>IF(B26="","",IFERROR(VLOOKUP(B26,'📦产品库'!$B$4:$E$9999,4,0),""))</f>
        <v/>
      </c>
      <c r="E26" s="21">
        <f>IF(B26="","",IFERROR(VLOOKUP(B26,'📦产品库'!$B$4:$F$9999,5,0),""))</f>
        <v/>
      </c>
      <c r="F26" s="22">
        <f>IF(B26="","",IFERROR(VLOOKUP(B26,'📦产品库'!$B$4:$G$9999,6,0),""))</f>
        <v/>
      </c>
      <c r="G26" s="16" t="n"/>
      <c r="H26" s="23">
        <f>IF(B26="","",1)</f>
        <v/>
      </c>
      <c r="I26" s="17">
        <f>IF(B26="","",IF(G26&lt;&gt;"",G26*H26,F26*H26))</f>
        <v/>
      </c>
      <c r="J26" s="24" t="n"/>
      <c r="K26" s="18">
        <f>IF(B26="","",IF(G26&gt;=2000,20,IF(G26&gt;=1000,10,0)))</f>
        <v/>
      </c>
      <c r="L26" s="27" t="n"/>
    </row>
    <row r="27" ht="18" customHeight="1">
      <c r="A27" s="19">
        <f>IF(B27="","",ROW()-4)</f>
        <v/>
      </c>
      <c r="B27" s="15" t="n"/>
      <c r="C27" s="20">
        <f>IF(B27="","",IFERROR(VLOOKUP(B27,'📦产品库'!$B$4:$D$9999,2,0),"⚠️未找到"))</f>
        <v/>
      </c>
      <c r="D27" s="21">
        <f>IF(B27="","",IFERROR(VLOOKUP(B27,'📦产品库'!$B$4:$E$9999,4,0),""))</f>
        <v/>
      </c>
      <c r="E27" s="21">
        <f>IF(B27="","",IFERROR(VLOOKUP(B27,'📦产品库'!$B$4:$F$9999,5,0),""))</f>
        <v/>
      </c>
      <c r="F27" s="22">
        <f>IF(B27="","",IFERROR(VLOOKUP(B27,'📦产品库'!$B$4:$G$9999,6,0),""))</f>
        <v/>
      </c>
      <c r="G27" s="16" t="n"/>
      <c r="H27" s="23">
        <f>IF(B27="","",1)</f>
        <v/>
      </c>
      <c r="I27" s="17">
        <f>IF(B27="","",IF(G27&lt;&gt;"",G27*H27,F27*H27))</f>
        <v/>
      </c>
      <c r="J27" s="24" t="n"/>
      <c r="K27" s="18">
        <f>IF(B27="","",IF(G27&gt;=2000,20,IF(G27&gt;=1000,10,0)))</f>
        <v/>
      </c>
      <c r="L27" s="25" t="n"/>
    </row>
    <row r="28" ht="18" customHeight="1">
      <c r="A28" s="26">
        <f>IF(B28="","",ROW()-4)</f>
        <v/>
      </c>
      <c r="B28" s="15" t="n"/>
      <c r="C28" s="20">
        <f>IF(B28="","",IFERROR(VLOOKUP(B28,'📦产品库'!$B$4:$D$9999,2,0),"⚠️未找到"))</f>
        <v/>
      </c>
      <c r="D28" s="21">
        <f>IF(B28="","",IFERROR(VLOOKUP(B28,'📦产品库'!$B$4:$E$9999,4,0),""))</f>
        <v/>
      </c>
      <c r="E28" s="21">
        <f>IF(B28="","",IFERROR(VLOOKUP(B28,'📦产品库'!$B$4:$F$9999,5,0),""))</f>
        <v/>
      </c>
      <c r="F28" s="22">
        <f>IF(B28="","",IFERROR(VLOOKUP(B28,'📦产品库'!$B$4:$G$9999,6,0),""))</f>
        <v/>
      </c>
      <c r="G28" s="16" t="n"/>
      <c r="H28" s="23">
        <f>IF(B28="","",1)</f>
        <v/>
      </c>
      <c r="I28" s="17">
        <f>IF(B28="","",IF(G28&lt;&gt;"",G28*H28,F28*H28))</f>
        <v/>
      </c>
      <c r="J28" s="24" t="n"/>
      <c r="K28" s="18">
        <f>IF(B28="","",IF(G28&gt;=2000,20,IF(G28&gt;=1000,10,0)))</f>
        <v/>
      </c>
      <c r="L28" s="27" t="n"/>
    </row>
    <row r="29" ht="18" customHeight="1">
      <c r="A29" s="19">
        <f>IF(B29="","",ROW()-4)</f>
        <v/>
      </c>
      <c r="B29" s="15" t="n"/>
      <c r="C29" s="20">
        <f>IF(B29="","",IFERROR(VLOOKUP(B29,'📦产品库'!$B$4:$D$9999,2,0),"⚠️未找到"))</f>
        <v/>
      </c>
      <c r="D29" s="21">
        <f>IF(B29="","",IFERROR(VLOOKUP(B29,'📦产品库'!$B$4:$E$9999,4,0),""))</f>
        <v/>
      </c>
      <c r="E29" s="21">
        <f>IF(B29="","",IFERROR(VLOOKUP(B29,'📦产品库'!$B$4:$F$9999,5,0),""))</f>
        <v/>
      </c>
      <c r="F29" s="22">
        <f>IF(B29="","",IFERROR(VLOOKUP(B29,'📦产品库'!$B$4:$G$9999,6,0),""))</f>
        <v/>
      </c>
      <c r="G29" s="16" t="n"/>
      <c r="H29" s="23">
        <f>IF(B29="","",1)</f>
        <v/>
      </c>
      <c r="I29" s="17">
        <f>IF(B29="","",IF(G29&lt;&gt;"",G29*H29,F29*H29))</f>
        <v/>
      </c>
      <c r="J29" s="24" t="n"/>
      <c r="K29" s="18">
        <f>IF(B29="","",IF(G29&gt;=2000,20,IF(G29&gt;=1000,10,0)))</f>
        <v/>
      </c>
      <c r="L29" s="25" t="n"/>
    </row>
    <row r="30" ht="18" customHeight="1">
      <c r="A30" s="26">
        <f>IF(B30="","",ROW()-4)</f>
        <v/>
      </c>
      <c r="B30" s="15" t="n"/>
      <c r="C30" s="20">
        <f>IF(B30="","",IFERROR(VLOOKUP(B30,'📦产品库'!$B$4:$D$9999,2,0),"⚠️未找到"))</f>
        <v/>
      </c>
      <c r="D30" s="21">
        <f>IF(B30="","",IFERROR(VLOOKUP(B30,'📦产品库'!$B$4:$E$9999,4,0),""))</f>
        <v/>
      </c>
      <c r="E30" s="21">
        <f>IF(B30="","",IFERROR(VLOOKUP(B30,'📦产品库'!$B$4:$F$9999,5,0),""))</f>
        <v/>
      </c>
      <c r="F30" s="22">
        <f>IF(B30="","",IFERROR(VLOOKUP(B30,'📦产品库'!$B$4:$G$9999,6,0),""))</f>
        <v/>
      </c>
      <c r="G30" s="16" t="n"/>
      <c r="H30" s="23">
        <f>IF(B30="","",1)</f>
        <v/>
      </c>
      <c r="I30" s="17">
        <f>IF(B30="","",IF(G30&lt;&gt;"",G30*H30,F30*H30))</f>
        <v/>
      </c>
      <c r="J30" s="24" t="n"/>
      <c r="K30" s="18">
        <f>IF(B30="","",IF(G30&gt;=2000,20,IF(G30&gt;=1000,10,0)))</f>
        <v/>
      </c>
      <c r="L30" s="27" t="n"/>
    </row>
    <row r="31" ht="18" customHeight="1">
      <c r="A31" s="19">
        <f>IF(B31="","",ROW()-4)</f>
        <v/>
      </c>
      <c r="B31" s="15" t="n"/>
      <c r="C31" s="20">
        <f>IF(B31="","",IFERROR(VLOOKUP(B31,'📦产品库'!$B$4:$D$9999,2,0),"⚠️未找到"))</f>
        <v/>
      </c>
      <c r="D31" s="21">
        <f>IF(B31="","",IFERROR(VLOOKUP(B31,'📦产品库'!$B$4:$E$9999,4,0),""))</f>
        <v/>
      </c>
      <c r="E31" s="21">
        <f>IF(B31="","",IFERROR(VLOOKUP(B31,'📦产品库'!$B$4:$F$9999,5,0),""))</f>
        <v/>
      </c>
      <c r="F31" s="22">
        <f>IF(B31="","",IFERROR(VLOOKUP(B31,'📦产品库'!$B$4:$G$9999,6,0),""))</f>
        <v/>
      </c>
      <c r="G31" s="16" t="n"/>
      <c r="H31" s="23">
        <f>IF(B31="","",1)</f>
        <v/>
      </c>
      <c r="I31" s="17">
        <f>IF(B31="","",IF(G31&lt;&gt;"",G31*H31,F31*H31))</f>
        <v/>
      </c>
      <c r="J31" s="24" t="n"/>
      <c r="K31" s="18">
        <f>IF(B31="","",IF(G31&gt;=2000,20,IF(G31&gt;=1000,10,0)))</f>
        <v/>
      </c>
      <c r="L31" s="25" t="n"/>
    </row>
    <row r="32" ht="18" customHeight="1">
      <c r="A32" s="26">
        <f>IF(B32="","",ROW()-4)</f>
        <v/>
      </c>
      <c r="B32" s="15" t="n"/>
      <c r="C32" s="20">
        <f>IF(B32="","",IFERROR(VLOOKUP(B32,'📦产品库'!$B$4:$D$9999,2,0),"⚠️未找到"))</f>
        <v/>
      </c>
      <c r="D32" s="21">
        <f>IF(B32="","",IFERROR(VLOOKUP(B32,'📦产品库'!$B$4:$E$9999,4,0),""))</f>
        <v/>
      </c>
      <c r="E32" s="21">
        <f>IF(B32="","",IFERROR(VLOOKUP(B32,'📦产品库'!$B$4:$F$9999,5,0),""))</f>
        <v/>
      </c>
      <c r="F32" s="22">
        <f>IF(B32="","",IFERROR(VLOOKUP(B32,'📦产品库'!$B$4:$G$9999,6,0),""))</f>
        <v/>
      </c>
      <c r="G32" s="16" t="n"/>
      <c r="H32" s="23">
        <f>IF(B32="","",1)</f>
        <v/>
      </c>
      <c r="I32" s="17">
        <f>IF(B32="","",IF(G32&lt;&gt;"",G32*H32,F32*H32))</f>
        <v/>
      </c>
      <c r="J32" s="24" t="n"/>
      <c r="K32" s="18">
        <f>IF(B32="","",IF(G32&gt;=2000,20,IF(G32&gt;=1000,10,0)))</f>
        <v/>
      </c>
      <c r="L32" s="27" t="n"/>
    </row>
    <row r="33" ht="18" customHeight="1">
      <c r="A33" s="19">
        <f>IF(B33="","",ROW()-4)</f>
        <v/>
      </c>
      <c r="B33" s="15" t="n"/>
      <c r="C33" s="20">
        <f>IF(B33="","",IFERROR(VLOOKUP(B33,'📦产品库'!$B$4:$D$9999,2,0),"⚠️未找到"))</f>
        <v/>
      </c>
      <c r="D33" s="21">
        <f>IF(B33="","",IFERROR(VLOOKUP(B33,'📦产品库'!$B$4:$E$9999,4,0),""))</f>
        <v/>
      </c>
      <c r="E33" s="21">
        <f>IF(B33="","",IFERROR(VLOOKUP(B33,'📦产品库'!$B$4:$F$9999,5,0),""))</f>
        <v/>
      </c>
      <c r="F33" s="22">
        <f>IF(B33="","",IFERROR(VLOOKUP(B33,'📦产品库'!$B$4:$G$9999,6,0),""))</f>
        <v/>
      </c>
      <c r="G33" s="16" t="n"/>
      <c r="H33" s="23">
        <f>IF(B33="","",1)</f>
        <v/>
      </c>
      <c r="I33" s="17">
        <f>IF(B33="","",IF(G33&lt;&gt;"",G33*H33,F33*H33))</f>
        <v/>
      </c>
      <c r="J33" s="24" t="n"/>
      <c r="K33" s="18">
        <f>IF(B33="","",IF(G33&gt;=2000,20,IF(G33&gt;=1000,10,0)))</f>
        <v/>
      </c>
      <c r="L33" s="25" t="n"/>
    </row>
    <row r="34" ht="18" customHeight="1">
      <c r="A34" s="26">
        <f>IF(B34="","",ROW()-4)</f>
        <v/>
      </c>
      <c r="B34" s="15" t="n"/>
      <c r="C34" s="20">
        <f>IF(B34="","",IFERROR(VLOOKUP(B34,'📦产品库'!$B$4:$D$9999,2,0),"⚠️未找到"))</f>
        <v/>
      </c>
      <c r="D34" s="21">
        <f>IF(B34="","",IFERROR(VLOOKUP(B34,'📦产品库'!$B$4:$E$9999,4,0),""))</f>
        <v/>
      </c>
      <c r="E34" s="21">
        <f>IF(B34="","",IFERROR(VLOOKUP(B34,'📦产品库'!$B$4:$F$9999,5,0),""))</f>
        <v/>
      </c>
      <c r="F34" s="22">
        <f>IF(B34="","",IFERROR(VLOOKUP(B34,'📦产品库'!$B$4:$G$9999,6,0),""))</f>
        <v/>
      </c>
      <c r="G34" s="16" t="n"/>
      <c r="H34" s="23">
        <f>IF(B34="","",1)</f>
        <v/>
      </c>
      <c r="I34" s="17">
        <f>IF(B34="","",IF(G34&lt;&gt;"",G34*H34,F34*H34))</f>
        <v/>
      </c>
      <c r="J34" s="24" t="n"/>
      <c r="K34" s="18">
        <f>IF(B34="","",IF(G34&gt;=2000,20,IF(G34&gt;=1000,10,0)))</f>
        <v/>
      </c>
      <c r="L34" s="27" t="n"/>
    </row>
    <row r="35" ht="18" customHeight="1">
      <c r="A35" s="19">
        <f>IF(B35="","",ROW()-4)</f>
        <v/>
      </c>
      <c r="B35" s="15" t="n"/>
      <c r="C35" s="20">
        <f>IF(B35="","",IFERROR(VLOOKUP(B35,'📦产品库'!$B$4:$D$9999,2,0),"⚠️未找到"))</f>
        <v/>
      </c>
      <c r="D35" s="21">
        <f>IF(B35="","",IFERROR(VLOOKUP(B35,'📦产品库'!$B$4:$E$9999,4,0),""))</f>
        <v/>
      </c>
      <c r="E35" s="21">
        <f>IF(B35="","",IFERROR(VLOOKUP(B35,'📦产品库'!$B$4:$F$9999,5,0),""))</f>
        <v/>
      </c>
      <c r="F35" s="22">
        <f>IF(B35="","",IFERROR(VLOOKUP(B35,'📦产品库'!$B$4:$G$9999,6,0),""))</f>
        <v/>
      </c>
      <c r="G35" s="16" t="n"/>
      <c r="H35" s="23">
        <f>IF(B35="","",1)</f>
        <v/>
      </c>
      <c r="I35" s="17">
        <f>IF(B35="","",IF(G35&lt;&gt;"",G35*H35,F35*H35))</f>
        <v/>
      </c>
      <c r="J35" s="24" t="n"/>
      <c r="K35" s="18">
        <f>IF(B35="","",IF(G35&gt;=2000,20,IF(G35&gt;=1000,10,0)))</f>
        <v/>
      </c>
      <c r="L35" s="25" t="n"/>
    </row>
    <row r="36" ht="18" customHeight="1">
      <c r="A36" s="26">
        <f>IF(B36="","",ROW()-4)</f>
        <v/>
      </c>
      <c r="B36" s="15" t="n"/>
      <c r="C36" s="20">
        <f>IF(B36="","",IFERROR(VLOOKUP(B36,'📦产品库'!$B$4:$D$9999,2,0),"⚠️未找到"))</f>
        <v/>
      </c>
      <c r="D36" s="21">
        <f>IF(B36="","",IFERROR(VLOOKUP(B36,'📦产品库'!$B$4:$E$9999,4,0),""))</f>
        <v/>
      </c>
      <c r="E36" s="21">
        <f>IF(B36="","",IFERROR(VLOOKUP(B36,'📦产品库'!$B$4:$F$9999,5,0),""))</f>
        <v/>
      </c>
      <c r="F36" s="22">
        <f>IF(B36="","",IFERROR(VLOOKUP(B36,'📦产品库'!$B$4:$G$9999,6,0),""))</f>
        <v/>
      </c>
      <c r="G36" s="16" t="n"/>
      <c r="H36" s="23">
        <f>IF(B36="","",1)</f>
        <v/>
      </c>
      <c r="I36" s="17">
        <f>IF(B36="","",IF(G36&lt;&gt;"",G36*H36,F36*H36))</f>
        <v/>
      </c>
      <c r="J36" s="24" t="n"/>
      <c r="K36" s="18">
        <f>IF(B36="","",IF(G36&gt;=2000,20,IF(G36&gt;=1000,10,0)))</f>
        <v/>
      </c>
      <c r="L36" s="27" t="n"/>
    </row>
    <row r="37" ht="18" customHeight="1">
      <c r="A37" s="19">
        <f>IF(B37="","",ROW()-4)</f>
        <v/>
      </c>
      <c r="B37" s="15" t="n"/>
      <c r="C37" s="20">
        <f>IF(B37="","",IFERROR(VLOOKUP(B37,'📦产品库'!$B$4:$D$9999,2,0),"⚠️未找到"))</f>
        <v/>
      </c>
      <c r="D37" s="21">
        <f>IF(B37="","",IFERROR(VLOOKUP(B37,'📦产品库'!$B$4:$E$9999,4,0),""))</f>
        <v/>
      </c>
      <c r="E37" s="21">
        <f>IF(B37="","",IFERROR(VLOOKUP(B37,'📦产品库'!$B$4:$F$9999,5,0),""))</f>
        <v/>
      </c>
      <c r="F37" s="22">
        <f>IF(B37="","",IFERROR(VLOOKUP(B37,'📦产品库'!$B$4:$G$9999,6,0),""))</f>
        <v/>
      </c>
      <c r="G37" s="16" t="n"/>
      <c r="H37" s="23">
        <f>IF(B37="","",1)</f>
        <v/>
      </c>
      <c r="I37" s="17">
        <f>IF(B37="","",IF(G37&lt;&gt;"",G37*H37,F37*H37))</f>
        <v/>
      </c>
      <c r="J37" s="24" t="n"/>
      <c r="K37" s="18">
        <f>IF(B37="","",IF(G37&gt;=2000,20,IF(G37&gt;=1000,10,0)))</f>
        <v/>
      </c>
      <c r="L37" s="25" t="n"/>
    </row>
    <row r="38" ht="18" customHeight="1">
      <c r="A38" s="26">
        <f>IF(B38="","",ROW()-4)</f>
        <v/>
      </c>
      <c r="B38" s="15" t="n"/>
      <c r="C38" s="20">
        <f>IF(B38="","",IFERROR(VLOOKUP(B38,'📦产品库'!$B$4:$D$9999,2,0),"⚠️未找到"))</f>
        <v/>
      </c>
      <c r="D38" s="21">
        <f>IF(B38="","",IFERROR(VLOOKUP(B38,'📦产品库'!$B$4:$E$9999,4,0),""))</f>
        <v/>
      </c>
      <c r="E38" s="21">
        <f>IF(B38="","",IFERROR(VLOOKUP(B38,'📦产品库'!$B$4:$F$9999,5,0),""))</f>
        <v/>
      </c>
      <c r="F38" s="22">
        <f>IF(B38="","",IFERROR(VLOOKUP(B38,'📦产品库'!$B$4:$G$9999,6,0),""))</f>
        <v/>
      </c>
      <c r="G38" s="16" t="n"/>
      <c r="H38" s="23">
        <f>IF(B38="","",1)</f>
        <v/>
      </c>
      <c r="I38" s="17">
        <f>IF(B38="","",IF(G38&lt;&gt;"",G38*H38,F38*H38))</f>
        <v/>
      </c>
      <c r="J38" s="24" t="n"/>
      <c r="K38" s="18">
        <f>IF(B38="","",IF(G38&gt;=2000,20,IF(G38&gt;=1000,10,0)))</f>
        <v/>
      </c>
      <c r="L38" s="27" t="n"/>
    </row>
    <row r="39" ht="18" customHeight="1">
      <c r="A39" s="19">
        <f>IF(B39="","",ROW()-4)</f>
        <v/>
      </c>
      <c r="B39" s="15" t="n"/>
      <c r="C39" s="20">
        <f>IF(B39="","",IFERROR(VLOOKUP(B39,'📦产品库'!$B$4:$D$9999,2,0),"⚠️未找到"))</f>
        <v/>
      </c>
      <c r="D39" s="21">
        <f>IF(B39="","",IFERROR(VLOOKUP(B39,'📦产品库'!$B$4:$E$9999,4,0),""))</f>
        <v/>
      </c>
      <c r="E39" s="21">
        <f>IF(B39="","",IFERROR(VLOOKUP(B39,'📦产品库'!$B$4:$F$9999,5,0),""))</f>
        <v/>
      </c>
      <c r="F39" s="22">
        <f>IF(B39="","",IFERROR(VLOOKUP(B39,'📦产品库'!$B$4:$G$9999,6,0),""))</f>
        <v/>
      </c>
      <c r="G39" s="16" t="n"/>
      <c r="H39" s="23">
        <f>IF(B39="","",1)</f>
        <v/>
      </c>
      <c r="I39" s="17">
        <f>IF(B39="","",IF(G39&lt;&gt;"",G39*H39,F39*H39))</f>
        <v/>
      </c>
      <c r="J39" s="24" t="n"/>
      <c r="K39" s="18">
        <f>IF(B39="","",IF(G39&gt;=2000,20,IF(G39&gt;=1000,10,0)))</f>
        <v/>
      </c>
      <c r="L39" s="25" t="n"/>
    </row>
    <row r="40" ht="18" customHeight="1">
      <c r="A40" s="26">
        <f>IF(B40="","",ROW()-4)</f>
        <v/>
      </c>
      <c r="B40" s="15" t="n"/>
      <c r="C40" s="20">
        <f>IF(B40="","",IFERROR(VLOOKUP(B40,'📦产品库'!$B$4:$D$9999,2,0),"⚠️未找到"))</f>
        <v/>
      </c>
      <c r="D40" s="21">
        <f>IF(B40="","",IFERROR(VLOOKUP(B40,'📦产品库'!$B$4:$E$9999,4,0),""))</f>
        <v/>
      </c>
      <c r="E40" s="21">
        <f>IF(B40="","",IFERROR(VLOOKUP(B40,'📦产品库'!$B$4:$F$9999,5,0),""))</f>
        <v/>
      </c>
      <c r="F40" s="22">
        <f>IF(B40="","",IFERROR(VLOOKUP(B40,'📦产品库'!$B$4:$G$9999,6,0),""))</f>
        <v/>
      </c>
      <c r="G40" s="16" t="n"/>
      <c r="H40" s="23">
        <f>IF(B40="","",1)</f>
        <v/>
      </c>
      <c r="I40" s="17">
        <f>IF(B40="","",IF(G40&lt;&gt;"",G40*H40,F40*H40))</f>
        <v/>
      </c>
      <c r="J40" s="24" t="n"/>
      <c r="K40" s="18">
        <f>IF(B40="","",IF(G40&gt;=2000,20,IF(G40&gt;=1000,10,0)))</f>
        <v/>
      </c>
      <c r="L40" s="27" t="n"/>
    </row>
    <row r="41" ht="18" customHeight="1">
      <c r="A41" s="19">
        <f>IF(B41="","",ROW()-4)</f>
        <v/>
      </c>
      <c r="B41" s="15" t="n"/>
      <c r="C41" s="20">
        <f>IF(B41="","",IFERROR(VLOOKUP(B41,'📦产品库'!$B$4:$D$9999,2,0),"⚠️未找到"))</f>
        <v/>
      </c>
      <c r="D41" s="21">
        <f>IF(B41="","",IFERROR(VLOOKUP(B41,'📦产品库'!$B$4:$E$9999,4,0),""))</f>
        <v/>
      </c>
      <c r="E41" s="21">
        <f>IF(B41="","",IFERROR(VLOOKUP(B41,'📦产品库'!$B$4:$F$9999,5,0),""))</f>
        <v/>
      </c>
      <c r="F41" s="22">
        <f>IF(B41="","",IFERROR(VLOOKUP(B41,'📦产品库'!$B$4:$G$9999,6,0),""))</f>
        <v/>
      </c>
      <c r="G41" s="16" t="n"/>
      <c r="H41" s="23">
        <f>IF(B41="","",1)</f>
        <v/>
      </c>
      <c r="I41" s="17">
        <f>IF(B41="","",IF(G41&lt;&gt;"",G41*H41,F41*H41))</f>
        <v/>
      </c>
      <c r="J41" s="24" t="n"/>
      <c r="K41" s="18">
        <f>IF(B41="","",IF(G41&gt;=2000,20,IF(G41&gt;=1000,10,0)))</f>
        <v/>
      </c>
      <c r="L41" s="25" t="n"/>
    </row>
    <row r="42" ht="18" customHeight="1">
      <c r="A42" s="26">
        <f>IF(B42="","",ROW()-4)</f>
        <v/>
      </c>
      <c r="B42" s="15" t="n"/>
      <c r="C42" s="20">
        <f>IF(B42="","",IFERROR(VLOOKUP(B42,'📦产品库'!$B$4:$D$9999,2,0),"⚠️未找到"))</f>
        <v/>
      </c>
      <c r="D42" s="21">
        <f>IF(B42="","",IFERROR(VLOOKUP(B42,'📦产品库'!$B$4:$E$9999,4,0),""))</f>
        <v/>
      </c>
      <c r="E42" s="21">
        <f>IF(B42="","",IFERROR(VLOOKUP(B42,'📦产品库'!$B$4:$F$9999,5,0),""))</f>
        <v/>
      </c>
      <c r="F42" s="22">
        <f>IF(B42="","",IFERROR(VLOOKUP(B42,'📦产品库'!$B$4:$G$9999,6,0),""))</f>
        <v/>
      </c>
      <c r="G42" s="16" t="n"/>
      <c r="H42" s="23">
        <f>IF(B42="","",1)</f>
        <v/>
      </c>
      <c r="I42" s="17">
        <f>IF(B42="","",IF(G42&lt;&gt;"",G42*H42,F42*H42))</f>
        <v/>
      </c>
      <c r="J42" s="24" t="n"/>
      <c r="K42" s="18">
        <f>IF(B42="","",IF(G42&gt;=2000,20,IF(G42&gt;=1000,10,0)))</f>
        <v/>
      </c>
      <c r="L42" s="27" t="n"/>
    </row>
    <row r="43" ht="18" customHeight="1">
      <c r="A43" s="19">
        <f>IF(B43="","",ROW()-4)</f>
        <v/>
      </c>
      <c r="B43" s="15" t="n"/>
      <c r="C43" s="20">
        <f>IF(B43="","",IFERROR(VLOOKUP(B43,'📦产品库'!$B$4:$D$9999,2,0),"⚠️未找到"))</f>
        <v/>
      </c>
      <c r="D43" s="21">
        <f>IF(B43="","",IFERROR(VLOOKUP(B43,'📦产品库'!$B$4:$E$9999,4,0),""))</f>
        <v/>
      </c>
      <c r="E43" s="21">
        <f>IF(B43="","",IFERROR(VLOOKUP(B43,'📦产品库'!$B$4:$F$9999,5,0),""))</f>
        <v/>
      </c>
      <c r="F43" s="22">
        <f>IF(B43="","",IFERROR(VLOOKUP(B43,'📦产品库'!$B$4:$G$9999,6,0),""))</f>
        <v/>
      </c>
      <c r="G43" s="16" t="n"/>
      <c r="H43" s="23">
        <f>IF(B43="","",1)</f>
        <v/>
      </c>
      <c r="I43" s="17">
        <f>IF(B43="","",IF(G43&lt;&gt;"",G43*H43,F43*H43))</f>
        <v/>
      </c>
      <c r="J43" s="24" t="n"/>
      <c r="K43" s="18">
        <f>IF(B43="","",IF(G43&gt;=2000,20,IF(G43&gt;=1000,10,0)))</f>
        <v/>
      </c>
      <c r="L43" s="25" t="n"/>
    </row>
    <row r="44" ht="18" customHeight="1">
      <c r="A44" s="26">
        <f>IF(B44="","",ROW()-4)</f>
        <v/>
      </c>
      <c r="B44" s="15" t="n"/>
      <c r="C44" s="20">
        <f>IF(B44="","",IFERROR(VLOOKUP(B44,'📦产品库'!$B$4:$D$9999,2,0),"⚠️未找到"))</f>
        <v/>
      </c>
      <c r="D44" s="21">
        <f>IF(B44="","",IFERROR(VLOOKUP(B44,'📦产品库'!$B$4:$E$9999,4,0),""))</f>
        <v/>
      </c>
      <c r="E44" s="21">
        <f>IF(B44="","",IFERROR(VLOOKUP(B44,'📦产品库'!$B$4:$F$9999,5,0),""))</f>
        <v/>
      </c>
      <c r="F44" s="22">
        <f>IF(B44="","",IFERROR(VLOOKUP(B44,'📦产品库'!$B$4:$G$9999,6,0),""))</f>
        <v/>
      </c>
      <c r="G44" s="16" t="n"/>
      <c r="H44" s="23">
        <f>IF(B44="","",1)</f>
        <v/>
      </c>
      <c r="I44" s="17">
        <f>IF(B44="","",IF(G44&lt;&gt;"",G44*H44,F44*H44))</f>
        <v/>
      </c>
      <c r="J44" s="24" t="n"/>
      <c r="K44" s="18">
        <f>IF(B44="","",IF(G44&gt;=2000,20,IF(G44&gt;=1000,10,0)))</f>
        <v/>
      </c>
      <c r="L44" s="27" t="n"/>
    </row>
    <row r="45" ht="18" customHeight="1">
      <c r="A45" s="19">
        <f>IF(B45="","",ROW()-4)</f>
        <v/>
      </c>
      <c r="B45" s="15" t="n"/>
      <c r="C45" s="20">
        <f>IF(B45="","",IFERROR(VLOOKUP(B45,'📦产品库'!$B$4:$D$9999,2,0),"⚠️未找到"))</f>
        <v/>
      </c>
      <c r="D45" s="21">
        <f>IF(B45="","",IFERROR(VLOOKUP(B45,'📦产品库'!$B$4:$E$9999,4,0),""))</f>
        <v/>
      </c>
      <c r="E45" s="21">
        <f>IF(B45="","",IFERROR(VLOOKUP(B45,'📦产品库'!$B$4:$F$9999,5,0),""))</f>
        <v/>
      </c>
      <c r="F45" s="22">
        <f>IF(B45="","",IFERROR(VLOOKUP(B45,'📦产品库'!$B$4:$G$9999,6,0),""))</f>
        <v/>
      </c>
      <c r="G45" s="16" t="n"/>
      <c r="H45" s="23">
        <f>IF(B45="","",1)</f>
        <v/>
      </c>
      <c r="I45" s="17">
        <f>IF(B45="","",IF(G45&lt;&gt;"",G45*H45,F45*H45))</f>
        <v/>
      </c>
      <c r="J45" s="24" t="n"/>
      <c r="K45" s="18">
        <f>IF(B45="","",IF(G45&gt;=2000,20,IF(G45&gt;=1000,10,0)))</f>
        <v/>
      </c>
      <c r="L45" s="25" t="n"/>
    </row>
    <row r="46" ht="18" customHeight="1">
      <c r="A46" s="26">
        <f>IF(B46="","",ROW()-4)</f>
        <v/>
      </c>
      <c r="B46" s="15" t="n"/>
      <c r="C46" s="20">
        <f>IF(B46="","",IFERROR(VLOOKUP(B46,'📦产品库'!$B$4:$D$9999,2,0),"⚠️未找到"))</f>
        <v/>
      </c>
      <c r="D46" s="21">
        <f>IF(B46="","",IFERROR(VLOOKUP(B46,'📦产品库'!$B$4:$E$9999,4,0),""))</f>
        <v/>
      </c>
      <c r="E46" s="21">
        <f>IF(B46="","",IFERROR(VLOOKUP(B46,'📦产品库'!$B$4:$F$9999,5,0),""))</f>
        <v/>
      </c>
      <c r="F46" s="22">
        <f>IF(B46="","",IFERROR(VLOOKUP(B46,'📦产品库'!$B$4:$G$9999,6,0),""))</f>
        <v/>
      </c>
      <c r="G46" s="16" t="n"/>
      <c r="H46" s="23">
        <f>IF(B46="","",1)</f>
        <v/>
      </c>
      <c r="I46" s="17">
        <f>IF(B46="","",IF(G46&lt;&gt;"",G46*H46,F46*H46))</f>
        <v/>
      </c>
      <c r="J46" s="24" t="n"/>
      <c r="K46" s="18">
        <f>IF(B46="","",IF(G46&gt;=2000,20,IF(G46&gt;=1000,10,0)))</f>
        <v/>
      </c>
      <c r="L46" s="27" t="n"/>
    </row>
    <row r="47" ht="18" customHeight="1">
      <c r="A47" s="19">
        <f>IF(B47="","",ROW()-4)</f>
        <v/>
      </c>
      <c r="B47" s="15" t="n"/>
      <c r="C47" s="20">
        <f>IF(B47="","",IFERROR(VLOOKUP(B47,'📦产品库'!$B$4:$D$9999,2,0),"⚠️未找到"))</f>
        <v/>
      </c>
      <c r="D47" s="21">
        <f>IF(B47="","",IFERROR(VLOOKUP(B47,'📦产品库'!$B$4:$E$9999,4,0),""))</f>
        <v/>
      </c>
      <c r="E47" s="21">
        <f>IF(B47="","",IFERROR(VLOOKUP(B47,'📦产品库'!$B$4:$F$9999,5,0),""))</f>
        <v/>
      </c>
      <c r="F47" s="22">
        <f>IF(B47="","",IFERROR(VLOOKUP(B47,'📦产品库'!$B$4:$G$9999,6,0),""))</f>
        <v/>
      </c>
      <c r="G47" s="16" t="n"/>
      <c r="H47" s="23">
        <f>IF(B47="","",1)</f>
        <v/>
      </c>
      <c r="I47" s="17">
        <f>IF(B47="","",IF(G47&lt;&gt;"",G47*H47,F47*H47))</f>
        <v/>
      </c>
      <c r="J47" s="24" t="n"/>
      <c r="K47" s="18">
        <f>IF(B47="","",IF(G47&gt;=2000,20,IF(G47&gt;=1000,10,0)))</f>
        <v/>
      </c>
      <c r="L47" s="25" t="n"/>
    </row>
    <row r="48" ht="18" customHeight="1">
      <c r="A48" s="26">
        <f>IF(B48="","",ROW()-4)</f>
        <v/>
      </c>
      <c r="B48" s="15" t="n"/>
      <c r="C48" s="20">
        <f>IF(B48="","",IFERROR(VLOOKUP(B48,'📦产品库'!$B$4:$D$9999,2,0),"⚠️未找到"))</f>
        <v/>
      </c>
      <c r="D48" s="21">
        <f>IF(B48="","",IFERROR(VLOOKUP(B48,'📦产品库'!$B$4:$E$9999,4,0),""))</f>
        <v/>
      </c>
      <c r="E48" s="21">
        <f>IF(B48="","",IFERROR(VLOOKUP(B48,'📦产品库'!$B$4:$F$9999,5,0),""))</f>
        <v/>
      </c>
      <c r="F48" s="22">
        <f>IF(B48="","",IFERROR(VLOOKUP(B48,'📦产品库'!$B$4:$G$9999,6,0),""))</f>
        <v/>
      </c>
      <c r="G48" s="16" t="n"/>
      <c r="H48" s="23">
        <f>IF(B48="","",1)</f>
        <v/>
      </c>
      <c r="I48" s="17">
        <f>IF(B48="","",IF(G48&lt;&gt;"",G48*H48,F48*H48))</f>
        <v/>
      </c>
      <c r="J48" s="24" t="n"/>
      <c r="K48" s="18">
        <f>IF(B48="","",IF(G48&gt;=2000,20,IF(G48&gt;=1000,10,0)))</f>
        <v/>
      </c>
      <c r="L48" s="27" t="n"/>
    </row>
    <row r="49" ht="18" customHeight="1">
      <c r="A49" s="19">
        <f>IF(B49="","",ROW()-4)</f>
        <v/>
      </c>
      <c r="B49" s="15" t="n"/>
      <c r="C49" s="20">
        <f>IF(B49="","",IFERROR(VLOOKUP(B49,'📦产品库'!$B$4:$D$9999,2,0),"⚠️未找到"))</f>
        <v/>
      </c>
      <c r="D49" s="21">
        <f>IF(B49="","",IFERROR(VLOOKUP(B49,'📦产品库'!$B$4:$E$9999,4,0),""))</f>
        <v/>
      </c>
      <c r="E49" s="21">
        <f>IF(B49="","",IFERROR(VLOOKUP(B49,'📦产品库'!$B$4:$F$9999,5,0),""))</f>
        <v/>
      </c>
      <c r="F49" s="22">
        <f>IF(B49="","",IFERROR(VLOOKUP(B49,'📦产品库'!$B$4:$G$9999,6,0),""))</f>
        <v/>
      </c>
      <c r="G49" s="16" t="n"/>
      <c r="H49" s="23">
        <f>IF(B49="","",1)</f>
        <v/>
      </c>
      <c r="I49" s="17">
        <f>IF(B49="","",IF(G49&lt;&gt;"",G49*H49,F49*H49))</f>
        <v/>
      </c>
      <c r="J49" s="24" t="n"/>
      <c r="K49" s="18">
        <f>IF(B49="","",IF(G49&gt;=2000,20,IF(G49&gt;=1000,10,0)))</f>
        <v/>
      </c>
      <c r="L49" s="25" t="n"/>
    </row>
    <row r="50" ht="18" customHeight="1">
      <c r="A50" s="26">
        <f>IF(B50="","",ROW()-4)</f>
        <v/>
      </c>
      <c r="B50" s="15" t="n"/>
      <c r="C50" s="20">
        <f>IF(B50="","",IFERROR(VLOOKUP(B50,'📦产品库'!$B$4:$D$9999,2,0),"⚠️未找到"))</f>
        <v/>
      </c>
      <c r="D50" s="21">
        <f>IF(B50="","",IFERROR(VLOOKUP(B50,'📦产品库'!$B$4:$E$9999,4,0),""))</f>
        <v/>
      </c>
      <c r="E50" s="21">
        <f>IF(B50="","",IFERROR(VLOOKUP(B50,'📦产品库'!$B$4:$F$9999,5,0),""))</f>
        <v/>
      </c>
      <c r="F50" s="22">
        <f>IF(B50="","",IFERROR(VLOOKUP(B50,'📦产品库'!$B$4:$G$9999,6,0),""))</f>
        <v/>
      </c>
      <c r="G50" s="16" t="n"/>
      <c r="H50" s="23">
        <f>IF(B50="","",1)</f>
        <v/>
      </c>
      <c r="I50" s="17">
        <f>IF(B50="","",IF(G50&lt;&gt;"",G50*H50,F50*H50))</f>
        <v/>
      </c>
      <c r="J50" s="24" t="n"/>
      <c r="K50" s="18">
        <f>IF(B50="","",IF(G50&gt;=2000,20,IF(G50&gt;=1000,10,0)))</f>
        <v/>
      </c>
      <c r="L50" s="27" t="n"/>
    </row>
    <row r="51" ht="18" customHeight="1">
      <c r="A51" s="19">
        <f>IF(B51="","",ROW()-4)</f>
        <v/>
      </c>
      <c r="B51" s="15" t="n"/>
      <c r="C51" s="20">
        <f>IF(B51="","",IFERROR(VLOOKUP(B51,'📦产品库'!$B$4:$D$9999,2,0),"⚠️未找到"))</f>
        <v/>
      </c>
      <c r="D51" s="21">
        <f>IF(B51="","",IFERROR(VLOOKUP(B51,'📦产品库'!$B$4:$E$9999,4,0),""))</f>
        <v/>
      </c>
      <c r="E51" s="21">
        <f>IF(B51="","",IFERROR(VLOOKUP(B51,'📦产品库'!$B$4:$F$9999,5,0),""))</f>
        <v/>
      </c>
      <c r="F51" s="22">
        <f>IF(B51="","",IFERROR(VLOOKUP(B51,'📦产品库'!$B$4:$G$9999,6,0),""))</f>
        <v/>
      </c>
      <c r="G51" s="16" t="n"/>
      <c r="H51" s="23">
        <f>IF(B51="","",1)</f>
        <v/>
      </c>
      <c r="I51" s="17">
        <f>IF(B51="","",IF(G51&lt;&gt;"",G51*H51,F51*H51))</f>
        <v/>
      </c>
      <c r="J51" s="24" t="n"/>
      <c r="K51" s="18">
        <f>IF(B51="","",IF(G51&gt;=2000,20,IF(G51&gt;=1000,10,0)))</f>
        <v/>
      </c>
      <c r="L51" s="25" t="n"/>
    </row>
    <row r="52" ht="18" customHeight="1">
      <c r="A52" s="26">
        <f>IF(B52="","",ROW()-4)</f>
        <v/>
      </c>
      <c r="B52" s="15" t="n"/>
      <c r="C52" s="20">
        <f>IF(B52="","",IFERROR(VLOOKUP(B52,'📦产品库'!$B$4:$D$9999,2,0),"⚠️未找到"))</f>
        <v/>
      </c>
      <c r="D52" s="21">
        <f>IF(B52="","",IFERROR(VLOOKUP(B52,'📦产品库'!$B$4:$E$9999,4,0),""))</f>
        <v/>
      </c>
      <c r="E52" s="21">
        <f>IF(B52="","",IFERROR(VLOOKUP(B52,'📦产品库'!$B$4:$F$9999,5,0),""))</f>
        <v/>
      </c>
      <c r="F52" s="22">
        <f>IF(B52="","",IFERROR(VLOOKUP(B52,'📦产品库'!$B$4:$G$9999,6,0),""))</f>
        <v/>
      </c>
      <c r="G52" s="16" t="n"/>
      <c r="H52" s="23">
        <f>IF(B52="","",1)</f>
        <v/>
      </c>
      <c r="I52" s="17">
        <f>IF(B52="","",IF(G52&lt;&gt;"",G52*H52,F52*H52))</f>
        <v/>
      </c>
      <c r="J52" s="24" t="n"/>
      <c r="K52" s="18">
        <f>IF(B52="","",IF(G52&gt;=2000,20,IF(G52&gt;=1000,10,0)))</f>
        <v/>
      </c>
      <c r="L52" s="27" t="n"/>
    </row>
    <row r="53" ht="18" customHeight="1">
      <c r="A53" s="19">
        <f>IF(B53="","",ROW()-4)</f>
        <v/>
      </c>
      <c r="B53" s="15" t="n"/>
      <c r="C53" s="20">
        <f>IF(B53="","",IFERROR(VLOOKUP(B53,'📦产品库'!$B$4:$D$9999,2,0),"⚠️未找到"))</f>
        <v/>
      </c>
      <c r="D53" s="21">
        <f>IF(B53="","",IFERROR(VLOOKUP(B53,'📦产品库'!$B$4:$E$9999,4,0),""))</f>
        <v/>
      </c>
      <c r="E53" s="21">
        <f>IF(B53="","",IFERROR(VLOOKUP(B53,'📦产品库'!$B$4:$F$9999,5,0),""))</f>
        <v/>
      </c>
      <c r="F53" s="22">
        <f>IF(B53="","",IFERROR(VLOOKUP(B53,'📦产品库'!$B$4:$G$9999,6,0),""))</f>
        <v/>
      </c>
      <c r="G53" s="16" t="n"/>
      <c r="H53" s="23">
        <f>IF(B53="","",1)</f>
        <v/>
      </c>
      <c r="I53" s="17">
        <f>IF(B53="","",IF(G53&lt;&gt;"",G53*H53,F53*H53))</f>
        <v/>
      </c>
      <c r="J53" s="24" t="n"/>
      <c r="K53" s="18">
        <f>IF(B53="","",IF(G53&gt;=2000,20,IF(G53&gt;=1000,10,0)))</f>
        <v/>
      </c>
      <c r="L53" s="25" t="n"/>
    </row>
    <row r="54" ht="18" customHeight="1">
      <c r="A54" s="26">
        <f>IF(B54="","",ROW()-4)</f>
        <v/>
      </c>
      <c r="B54" s="15" t="n"/>
      <c r="C54" s="20">
        <f>IF(B54="","",IFERROR(VLOOKUP(B54,'📦产品库'!$B$4:$D$9999,2,0),"⚠️未找到"))</f>
        <v/>
      </c>
      <c r="D54" s="21">
        <f>IF(B54="","",IFERROR(VLOOKUP(B54,'📦产品库'!$B$4:$E$9999,4,0),""))</f>
        <v/>
      </c>
      <c r="E54" s="21">
        <f>IF(B54="","",IFERROR(VLOOKUP(B54,'📦产品库'!$B$4:$F$9999,5,0),""))</f>
        <v/>
      </c>
      <c r="F54" s="22">
        <f>IF(B54="","",IFERROR(VLOOKUP(B54,'📦产品库'!$B$4:$G$9999,6,0),""))</f>
        <v/>
      </c>
      <c r="G54" s="16" t="n"/>
      <c r="H54" s="23">
        <f>IF(B54="","",1)</f>
        <v/>
      </c>
      <c r="I54" s="17">
        <f>IF(B54="","",IF(G54&lt;&gt;"",G54*H54,F54*H54))</f>
        <v/>
      </c>
      <c r="J54" s="24" t="n"/>
      <c r="K54" s="18">
        <f>IF(B54="","",IF(G54&gt;=2000,20,IF(G54&gt;=1000,10,0)))</f>
        <v/>
      </c>
      <c r="L54" s="27" t="n"/>
    </row>
    <row r="55" ht="18" customHeight="1">
      <c r="A55" s="19">
        <f>IF(B55="","",ROW()-4)</f>
        <v/>
      </c>
      <c r="B55" s="15" t="n"/>
      <c r="C55" s="20">
        <f>IF(B55="","",IFERROR(VLOOKUP(B55,'📦产品库'!$B$4:$D$9999,2,0),"⚠️未找到"))</f>
        <v/>
      </c>
      <c r="D55" s="21">
        <f>IF(B55="","",IFERROR(VLOOKUP(B55,'📦产品库'!$B$4:$E$9999,4,0),""))</f>
        <v/>
      </c>
      <c r="E55" s="21">
        <f>IF(B55="","",IFERROR(VLOOKUP(B55,'📦产品库'!$B$4:$F$9999,5,0),""))</f>
        <v/>
      </c>
      <c r="F55" s="22">
        <f>IF(B55="","",IFERROR(VLOOKUP(B55,'📦产品库'!$B$4:$G$9999,6,0),""))</f>
        <v/>
      </c>
      <c r="G55" s="16" t="n"/>
      <c r="H55" s="23">
        <f>IF(B55="","",1)</f>
        <v/>
      </c>
      <c r="I55" s="17">
        <f>IF(B55="","",IF(G55&lt;&gt;"",G55*H55,F55*H55))</f>
        <v/>
      </c>
      <c r="J55" s="24" t="n"/>
      <c r="K55" s="18">
        <f>IF(B55="","",IF(G55&gt;=2000,20,IF(G55&gt;=1000,10,0)))</f>
        <v/>
      </c>
      <c r="L55" s="25" t="n"/>
    </row>
    <row r="56" ht="18" customHeight="1">
      <c r="A56" s="26">
        <f>IF(B56="","",ROW()-4)</f>
        <v/>
      </c>
      <c r="B56" s="15" t="n"/>
      <c r="C56" s="20">
        <f>IF(B56="","",IFERROR(VLOOKUP(B56,'📦产品库'!$B$4:$D$9999,2,0),"⚠️未找到"))</f>
        <v/>
      </c>
      <c r="D56" s="21">
        <f>IF(B56="","",IFERROR(VLOOKUP(B56,'📦产品库'!$B$4:$E$9999,4,0),""))</f>
        <v/>
      </c>
      <c r="E56" s="21">
        <f>IF(B56="","",IFERROR(VLOOKUP(B56,'📦产品库'!$B$4:$F$9999,5,0),""))</f>
        <v/>
      </c>
      <c r="F56" s="22">
        <f>IF(B56="","",IFERROR(VLOOKUP(B56,'📦产品库'!$B$4:$G$9999,6,0),""))</f>
        <v/>
      </c>
      <c r="G56" s="16" t="n"/>
      <c r="H56" s="23">
        <f>IF(B56="","",1)</f>
        <v/>
      </c>
      <c r="I56" s="17">
        <f>IF(B56="","",IF(G56&lt;&gt;"",G56*H56,F56*H56))</f>
        <v/>
      </c>
      <c r="J56" s="24" t="n"/>
      <c r="K56" s="18">
        <f>IF(B56="","",IF(G56&gt;=2000,20,IF(G56&gt;=1000,10,0)))</f>
        <v/>
      </c>
      <c r="L56" s="27" t="n"/>
    </row>
    <row r="57" ht="18" customHeight="1">
      <c r="A57" s="19">
        <f>IF(B57="","",ROW()-4)</f>
        <v/>
      </c>
      <c r="B57" s="15" t="n"/>
      <c r="C57" s="20">
        <f>IF(B57="","",IFERROR(VLOOKUP(B57,'📦产品库'!$B$4:$D$9999,2,0),"⚠️未找到"))</f>
        <v/>
      </c>
      <c r="D57" s="21">
        <f>IF(B57="","",IFERROR(VLOOKUP(B57,'📦产品库'!$B$4:$E$9999,4,0),""))</f>
        <v/>
      </c>
      <c r="E57" s="21">
        <f>IF(B57="","",IFERROR(VLOOKUP(B57,'📦产品库'!$B$4:$F$9999,5,0),""))</f>
        <v/>
      </c>
      <c r="F57" s="22">
        <f>IF(B57="","",IFERROR(VLOOKUP(B57,'📦产品库'!$B$4:$G$9999,6,0),""))</f>
        <v/>
      </c>
      <c r="G57" s="16" t="n"/>
      <c r="H57" s="23">
        <f>IF(B57="","",1)</f>
        <v/>
      </c>
      <c r="I57" s="17">
        <f>IF(B57="","",IF(G57&lt;&gt;"",G57*H57,F57*H57))</f>
        <v/>
      </c>
      <c r="J57" s="24" t="n"/>
      <c r="K57" s="18">
        <f>IF(B57="","",IF(G57&gt;=2000,20,IF(G57&gt;=1000,10,0)))</f>
        <v/>
      </c>
      <c r="L57" s="25" t="n"/>
    </row>
    <row r="58" ht="18" customHeight="1">
      <c r="A58" s="26">
        <f>IF(B58="","",ROW()-4)</f>
        <v/>
      </c>
      <c r="B58" s="15" t="n"/>
      <c r="C58" s="20">
        <f>IF(B58="","",IFERROR(VLOOKUP(B58,'📦产品库'!$B$4:$D$9999,2,0),"⚠️未找到"))</f>
        <v/>
      </c>
      <c r="D58" s="21">
        <f>IF(B58="","",IFERROR(VLOOKUP(B58,'📦产品库'!$B$4:$E$9999,4,0),""))</f>
        <v/>
      </c>
      <c r="E58" s="21">
        <f>IF(B58="","",IFERROR(VLOOKUP(B58,'📦产品库'!$B$4:$F$9999,5,0),""))</f>
        <v/>
      </c>
      <c r="F58" s="22">
        <f>IF(B58="","",IFERROR(VLOOKUP(B58,'📦产品库'!$B$4:$G$9999,6,0),""))</f>
        <v/>
      </c>
      <c r="G58" s="16" t="n"/>
      <c r="H58" s="23">
        <f>IF(B58="","",1)</f>
        <v/>
      </c>
      <c r="I58" s="17">
        <f>IF(B58="","",IF(G58&lt;&gt;"",G58*H58,F58*H58))</f>
        <v/>
      </c>
      <c r="J58" s="24" t="n"/>
      <c r="K58" s="18">
        <f>IF(B58="","",IF(G58&gt;=2000,20,IF(G58&gt;=1000,10,0)))</f>
        <v/>
      </c>
      <c r="L58" s="27" t="n"/>
    </row>
    <row r="59" ht="18" customHeight="1">
      <c r="A59" s="19">
        <f>IF(B59="","",ROW()-4)</f>
        <v/>
      </c>
      <c r="B59" s="15" t="n"/>
      <c r="C59" s="20">
        <f>IF(B59="","",IFERROR(VLOOKUP(B59,'📦产品库'!$B$4:$D$9999,2,0),"⚠️未找到"))</f>
        <v/>
      </c>
      <c r="D59" s="21">
        <f>IF(B59="","",IFERROR(VLOOKUP(B59,'📦产品库'!$B$4:$E$9999,4,0),""))</f>
        <v/>
      </c>
      <c r="E59" s="21">
        <f>IF(B59="","",IFERROR(VLOOKUP(B59,'📦产品库'!$B$4:$F$9999,5,0),""))</f>
        <v/>
      </c>
      <c r="F59" s="22">
        <f>IF(B59="","",IFERROR(VLOOKUP(B59,'📦产品库'!$B$4:$G$9999,6,0),""))</f>
        <v/>
      </c>
      <c r="G59" s="16" t="n"/>
      <c r="H59" s="23">
        <f>IF(B59="","",1)</f>
        <v/>
      </c>
      <c r="I59" s="17">
        <f>IF(B59="","",IF(G59&lt;&gt;"",G59*H59,F59*H59))</f>
        <v/>
      </c>
      <c r="J59" s="24" t="n"/>
      <c r="K59" s="18">
        <f>IF(B59="","",IF(G59&gt;=2000,20,IF(G59&gt;=1000,10,0)))</f>
        <v/>
      </c>
      <c r="L59" s="25" t="n"/>
    </row>
    <row r="60" ht="18" customHeight="1">
      <c r="A60" s="26">
        <f>IF(B60="","",ROW()-4)</f>
        <v/>
      </c>
      <c r="B60" s="15" t="n"/>
      <c r="C60" s="20">
        <f>IF(B60="","",IFERROR(VLOOKUP(B60,'📦产品库'!$B$4:$D$9999,2,0),"⚠️未找到"))</f>
        <v/>
      </c>
      <c r="D60" s="21">
        <f>IF(B60="","",IFERROR(VLOOKUP(B60,'📦产品库'!$B$4:$E$9999,4,0),""))</f>
        <v/>
      </c>
      <c r="E60" s="21">
        <f>IF(B60="","",IFERROR(VLOOKUP(B60,'📦产品库'!$B$4:$F$9999,5,0),""))</f>
        <v/>
      </c>
      <c r="F60" s="22">
        <f>IF(B60="","",IFERROR(VLOOKUP(B60,'📦产品库'!$B$4:$G$9999,6,0),""))</f>
        <v/>
      </c>
      <c r="G60" s="16" t="n"/>
      <c r="H60" s="23">
        <f>IF(B60="","",1)</f>
        <v/>
      </c>
      <c r="I60" s="17">
        <f>IF(B60="","",IF(G60&lt;&gt;"",G60*H60,F60*H60))</f>
        <v/>
      </c>
      <c r="J60" s="24" t="n"/>
      <c r="K60" s="18">
        <f>IF(B60="","",IF(G60&gt;=2000,20,IF(G60&gt;=1000,10,0)))</f>
        <v/>
      </c>
      <c r="L60" s="27" t="n"/>
    </row>
    <row r="61" ht="18" customHeight="1">
      <c r="A61" s="19">
        <f>IF(B61="","",ROW()-4)</f>
        <v/>
      </c>
      <c r="B61" s="15" t="n"/>
      <c r="C61" s="20">
        <f>IF(B61="","",IFERROR(VLOOKUP(B61,'📦产品库'!$B$4:$D$9999,2,0),"⚠️未找到"))</f>
        <v/>
      </c>
      <c r="D61" s="21">
        <f>IF(B61="","",IFERROR(VLOOKUP(B61,'📦产品库'!$B$4:$E$9999,4,0),""))</f>
        <v/>
      </c>
      <c r="E61" s="21">
        <f>IF(B61="","",IFERROR(VLOOKUP(B61,'📦产品库'!$B$4:$F$9999,5,0),""))</f>
        <v/>
      </c>
      <c r="F61" s="22">
        <f>IF(B61="","",IFERROR(VLOOKUP(B61,'📦产品库'!$B$4:$G$9999,6,0),""))</f>
        <v/>
      </c>
      <c r="G61" s="16" t="n"/>
      <c r="H61" s="23">
        <f>IF(B61="","",1)</f>
        <v/>
      </c>
      <c r="I61" s="17">
        <f>IF(B61="","",IF(G61&lt;&gt;"",G61*H61,F61*H61))</f>
        <v/>
      </c>
      <c r="J61" s="24" t="n"/>
      <c r="K61" s="18">
        <f>IF(B61="","",IF(G61&gt;=2000,20,IF(G61&gt;=1000,10,0)))</f>
        <v/>
      </c>
      <c r="L61" s="25" t="n"/>
    </row>
    <row r="62" ht="18" customHeight="1">
      <c r="A62" s="26">
        <f>IF(B62="","",ROW()-4)</f>
        <v/>
      </c>
      <c r="B62" s="15" t="n"/>
      <c r="C62" s="20">
        <f>IF(B62="","",IFERROR(VLOOKUP(B62,'📦产品库'!$B$4:$D$9999,2,0),"⚠️未找到"))</f>
        <v/>
      </c>
      <c r="D62" s="21">
        <f>IF(B62="","",IFERROR(VLOOKUP(B62,'📦产品库'!$B$4:$E$9999,4,0),""))</f>
        <v/>
      </c>
      <c r="E62" s="21">
        <f>IF(B62="","",IFERROR(VLOOKUP(B62,'📦产品库'!$B$4:$F$9999,5,0),""))</f>
        <v/>
      </c>
      <c r="F62" s="22">
        <f>IF(B62="","",IFERROR(VLOOKUP(B62,'📦产品库'!$B$4:$G$9999,6,0),""))</f>
        <v/>
      </c>
      <c r="G62" s="16" t="n"/>
      <c r="H62" s="23">
        <f>IF(B62="","",1)</f>
        <v/>
      </c>
      <c r="I62" s="17">
        <f>IF(B62="","",IF(G62&lt;&gt;"",G62*H62,F62*H62))</f>
        <v/>
      </c>
      <c r="J62" s="24" t="n"/>
      <c r="K62" s="18">
        <f>IF(B62="","",IF(G62&gt;=2000,20,IF(G62&gt;=1000,10,0)))</f>
        <v/>
      </c>
      <c r="L62" s="27" t="n"/>
    </row>
    <row r="63" ht="18" customHeight="1">
      <c r="A63" s="19">
        <f>IF(B63="","",ROW()-4)</f>
        <v/>
      </c>
      <c r="B63" s="15" t="n"/>
      <c r="C63" s="20">
        <f>IF(B63="","",IFERROR(VLOOKUP(B63,'📦产品库'!$B$4:$D$9999,2,0),"⚠️未找到"))</f>
        <v/>
      </c>
      <c r="D63" s="21">
        <f>IF(B63="","",IFERROR(VLOOKUP(B63,'📦产品库'!$B$4:$E$9999,4,0),""))</f>
        <v/>
      </c>
      <c r="E63" s="21">
        <f>IF(B63="","",IFERROR(VLOOKUP(B63,'📦产品库'!$B$4:$F$9999,5,0),""))</f>
        <v/>
      </c>
      <c r="F63" s="22">
        <f>IF(B63="","",IFERROR(VLOOKUP(B63,'📦产品库'!$B$4:$G$9999,6,0),""))</f>
        <v/>
      </c>
      <c r="G63" s="16" t="n"/>
      <c r="H63" s="23">
        <f>IF(B63="","",1)</f>
        <v/>
      </c>
      <c r="I63" s="17">
        <f>IF(B63="","",IF(G63&lt;&gt;"",G63*H63,F63*H63))</f>
        <v/>
      </c>
      <c r="J63" s="24" t="n"/>
      <c r="K63" s="18">
        <f>IF(B63="","",IF(G63&gt;=2000,20,IF(G63&gt;=1000,10,0)))</f>
        <v/>
      </c>
      <c r="L63" s="25" t="n"/>
    </row>
    <row r="64" ht="18" customHeight="1">
      <c r="A64" s="26">
        <f>IF(B64="","",ROW()-4)</f>
        <v/>
      </c>
      <c r="B64" s="15" t="n"/>
      <c r="C64" s="20">
        <f>IF(B64="","",IFERROR(VLOOKUP(B64,'📦产品库'!$B$4:$D$9999,2,0),"⚠️未找到"))</f>
        <v/>
      </c>
      <c r="D64" s="21">
        <f>IF(B64="","",IFERROR(VLOOKUP(B64,'📦产品库'!$B$4:$E$9999,4,0),""))</f>
        <v/>
      </c>
      <c r="E64" s="21">
        <f>IF(B64="","",IFERROR(VLOOKUP(B64,'📦产品库'!$B$4:$F$9999,5,0),""))</f>
        <v/>
      </c>
      <c r="F64" s="22">
        <f>IF(B64="","",IFERROR(VLOOKUP(B64,'📦产品库'!$B$4:$G$9999,6,0),""))</f>
        <v/>
      </c>
      <c r="G64" s="16" t="n"/>
      <c r="H64" s="23">
        <f>IF(B64="","",1)</f>
        <v/>
      </c>
      <c r="I64" s="17">
        <f>IF(B64="","",IF(G64&lt;&gt;"",G64*H64,F64*H64))</f>
        <v/>
      </c>
      <c r="J64" s="24" t="n"/>
      <c r="K64" s="18">
        <f>IF(B64="","",IF(G64&gt;=2000,20,IF(G64&gt;=1000,10,0)))</f>
        <v/>
      </c>
      <c r="L64" s="27" t="n"/>
    </row>
    <row r="65" ht="18" customHeight="1">
      <c r="A65" s="19">
        <f>IF(B65="","",ROW()-4)</f>
        <v/>
      </c>
      <c r="B65" s="15" t="n"/>
      <c r="C65" s="20">
        <f>IF(B65="","",IFERROR(VLOOKUP(B65,'📦产品库'!$B$4:$D$9999,2,0),"⚠️未找到"))</f>
        <v/>
      </c>
      <c r="D65" s="21">
        <f>IF(B65="","",IFERROR(VLOOKUP(B65,'📦产品库'!$B$4:$E$9999,4,0),""))</f>
        <v/>
      </c>
      <c r="E65" s="21">
        <f>IF(B65="","",IFERROR(VLOOKUP(B65,'📦产品库'!$B$4:$F$9999,5,0),""))</f>
        <v/>
      </c>
      <c r="F65" s="22">
        <f>IF(B65="","",IFERROR(VLOOKUP(B65,'📦产品库'!$B$4:$G$9999,6,0),""))</f>
        <v/>
      </c>
      <c r="G65" s="16" t="n"/>
      <c r="H65" s="23">
        <f>IF(B65="","",1)</f>
        <v/>
      </c>
      <c r="I65" s="17">
        <f>IF(B65="","",IF(G65&lt;&gt;"",G65*H65,F65*H65))</f>
        <v/>
      </c>
      <c r="J65" s="24" t="n"/>
      <c r="K65" s="18">
        <f>IF(B65="","",IF(G65&gt;=2000,20,IF(G65&gt;=1000,10,0)))</f>
        <v/>
      </c>
      <c r="L65" s="25" t="n"/>
    </row>
    <row r="66" ht="18" customHeight="1">
      <c r="A66" s="26">
        <f>IF(B66="","",ROW()-4)</f>
        <v/>
      </c>
      <c r="B66" s="15" t="n"/>
      <c r="C66" s="20">
        <f>IF(B66="","",IFERROR(VLOOKUP(B66,'📦产品库'!$B$4:$D$9999,2,0),"⚠️未找到"))</f>
        <v/>
      </c>
      <c r="D66" s="21">
        <f>IF(B66="","",IFERROR(VLOOKUP(B66,'📦产品库'!$B$4:$E$9999,4,0),""))</f>
        <v/>
      </c>
      <c r="E66" s="21">
        <f>IF(B66="","",IFERROR(VLOOKUP(B66,'📦产品库'!$B$4:$F$9999,5,0),""))</f>
        <v/>
      </c>
      <c r="F66" s="22">
        <f>IF(B66="","",IFERROR(VLOOKUP(B66,'📦产品库'!$B$4:$G$9999,6,0),""))</f>
        <v/>
      </c>
      <c r="G66" s="16" t="n"/>
      <c r="H66" s="23">
        <f>IF(B66="","",1)</f>
        <v/>
      </c>
      <c r="I66" s="17">
        <f>IF(B66="","",IF(G66&lt;&gt;"",G66*H66,F66*H66))</f>
        <v/>
      </c>
      <c r="J66" s="24" t="n"/>
      <c r="K66" s="18">
        <f>IF(B66="","",IF(G66&gt;=2000,20,IF(G66&gt;=1000,10,0)))</f>
        <v/>
      </c>
      <c r="L66" s="27" t="n"/>
    </row>
    <row r="67" ht="18" customHeight="1">
      <c r="A67" s="19">
        <f>IF(B67="","",ROW()-4)</f>
        <v/>
      </c>
      <c r="B67" s="15" t="n"/>
      <c r="C67" s="20">
        <f>IF(B67="","",IFERROR(VLOOKUP(B67,'📦产品库'!$B$4:$D$9999,2,0),"⚠️未找到"))</f>
        <v/>
      </c>
      <c r="D67" s="21">
        <f>IF(B67="","",IFERROR(VLOOKUP(B67,'📦产品库'!$B$4:$E$9999,4,0),""))</f>
        <v/>
      </c>
      <c r="E67" s="21">
        <f>IF(B67="","",IFERROR(VLOOKUP(B67,'📦产品库'!$B$4:$F$9999,5,0),""))</f>
        <v/>
      </c>
      <c r="F67" s="22">
        <f>IF(B67="","",IFERROR(VLOOKUP(B67,'📦产品库'!$B$4:$G$9999,6,0),""))</f>
        <v/>
      </c>
      <c r="G67" s="16" t="n"/>
      <c r="H67" s="23">
        <f>IF(B67="","",1)</f>
        <v/>
      </c>
      <c r="I67" s="17">
        <f>IF(B67="","",IF(G67&lt;&gt;"",G67*H67,F67*H67))</f>
        <v/>
      </c>
      <c r="J67" s="24" t="n"/>
      <c r="K67" s="18">
        <f>IF(B67="","",IF(G67&gt;=2000,20,IF(G67&gt;=1000,10,0)))</f>
        <v/>
      </c>
      <c r="L67" s="25" t="n"/>
    </row>
    <row r="68" ht="18" customHeight="1">
      <c r="A68" s="26">
        <f>IF(B68="","",ROW()-4)</f>
        <v/>
      </c>
      <c r="B68" s="15" t="n"/>
      <c r="C68" s="20">
        <f>IF(B68="","",IFERROR(VLOOKUP(B68,'📦产品库'!$B$4:$D$9999,2,0),"⚠️未找到"))</f>
        <v/>
      </c>
      <c r="D68" s="21">
        <f>IF(B68="","",IFERROR(VLOOKUP(B68,'📦产品库'!$B$4:$E$9999,4,0),""))</f>
        <v/>
      </c>
      <c r="E68" s="21">
        <f>IF(B68="","",IFERROR(VLOOKUP(B68,'📦产品库'!$B$4:$F$9999,5,0),""))</f>
        <v/>
      </c>
      <c r="F68" s="22">
        <f>IF(B68="","",IFERROR(VLOOKUP(B68,'📦产品库'!$B$4:$G$9999,6,0),""))</f>
        <v/>
      </c>
      <c r="G68" s="16" t="n"/>
      <c r="H68" s="23">
        <f>IF(B68="","",1)</f>
        <v/>
      </c>
      <c r="I68" s="17">
        <f>IF(B68="","",IF(G68&lt;&gt;"",G68*H68,F68*H68))</f>
        <v/>
      </c>
      <c r="J68" s="24" t="n"/>
      <c r="K68" s="18">
        <f>IF(B68="","",IF(G68&gt;=2000,20,IF(G68&gt;=1000,10,0)))</f>
        <v/>
      </c>
      <c r="L68" s="27" t="n"/>
    </row>
    <row r="69" ht="18" customHeight="1">
      <c r="A69" s="19">
        <f>IF(B69="","",ROW()-4)</f>
        <v/>
      </c>
      <c r="B69" s="15" t="n"/>
      <c r="C69" s="20">
        <f>IF(B69="","",IFERROR(VLOOKUP(B69,'📦产品库'!$B$4:$D$9999,2,0),"⚠️未找到"))</f>
        <v/>
      </c>
      <c r="D69" s="21">
        <f>IF(B69="","",IFERROR(VLOOKUP(B69,'📦产品库'!$B$4:$E$9999,4,0),""))</f>
        <v/>
      </c>
      <c r="E69" s="21">
        <f>IF(B69="","",IFERROR(VLOOKUP(B69,'📦产品库'!$B$4:$F$9999,5,0),""))</f>
        <v/>
      </c>
      <c r="F69" s="22">
        <f>IF(B69="","",IFERROR(VLOOKUP(B69,'📦产品库'!$B$4:$G$9999,6,0),""))</f>
        <v/>
      </c>
      <c r="G69" s="16" t="n"/>
      <c r="H69" s="23">
        <f>IF(B69="","",1)</f>
        <v/>
      </c>
      <c r="I69" s="17">
        <f>IF(B69="","",IF(G69&lt;&gt;"",G69*H69,F69*H69))</f>
        <v/>
      </c>
      <c r="J69" s="24" t="n"/>
      <c r="K69" s="18">
        <f>IF(B69="","",IF(G69&gt;=2000,20,IF(G69&gt;=1000,10,0)))</f>
        <v/>
      </c>
      <c r="L69" s="25" t="n"/>
    </row>
    <row r="70" ht="18" customHeight="1">
      <c r="A70" s="26">
        <f>IF(B70="","",ROW()-4)</f>
        <v/>
      </c>
      <c r="B70" s="15" t="n"/>
      <c r="C70" s="20">
        <f>IF(B70="","",IFERROR(VLOOKUP(B70,'📦产品库'!$B$4:$D$9999,2,0),"⚠️未找到"))</f>
        <v/>
      </c>
      <c r="D70" s="21">
        <f>IF(B70="","",IFERROR(VLOOKUP(B70,'📦产品库'!$B$4:$E$9999,4,0),""))</f>
        <v/>
      </c>
      <c r="E70" s="21">
        <f>IF(B70="","",IFERROR(VLOOKUP(B70,'📦产品库'!$B$4:$F$9999,5,0),""))</f>
        <v/>
      </c>
      <c r="F70" s="22">
        <f>IF(B70="","",IFERROR(VLOOKUP(B70,'📦产品库'!$B$4:$G$9999,6,0),""))</f>
        <v/>
      </c>
      <c r="G70" s="16" t="n"/>
      <c r="H70" s="23">
        <f>IF(B70="","",1)</f>
        <v/>
      </c>
      <c r="I70" s="17">
        <f>IF(B70="","",IF(G70&lt;&gt;"",G70*H70,F70*H70))</f>
        <v/>
      </c>
      <c r="J70" s="24" t="n"/>
      <c r="K70" s="18">
        <f>IF(B70="","",IF(G70&gt;=2000,20,IF(G70&gt;=1000,10,0)))</f>
        <v/>
      </c>
      <c r="L70" s="27" t="n"/>
    </row>
    <row r="71" ht="18" customHeight="1">
      <c r="A71" s="19">
        <f>IF(B71="","",ROW()-4)</f>
        <v/>
      </c>
      <c r="B71" s="15" t="n"/>
      <c r="C71" s="20">
        <f>IF(B71="","",IFERROR(VLOOKUP(B71,'📦产品库'!$B$4:$D$9999,2,0),"⚠️未找到"))</f>
        <v/>
      </c>
      <c r="D71" s="21">
        <f>IF(B71="","",IFERROR(VLOOKUP(B71,'📦产品库'!$B$4:$E$9999,4,0),""))</f>
        <v/>
      </c>
      <c r="E71" s="21">
        <f>IF(B71="","",IFERROR(VLOOKUP(B71,'📦产品库'!$B$4:$F$9999,5,0),""))</f>
        <v/>
      </c>
      <c r="F71" s="22">
        <f>IF(B71="","",IFERROR(VLOOKUP(B71,'📦产品库'!$B$4:$G$9999,6,0),""))</f>
        <v/>
      </c>
      <c r="G71" s="16" t="n"/>
      <c r="H71" s="23">
        <f>IF(B71="","",1)</f>
        <v/>
      </c>
      <c r="I71" s="17">
        <f>IF(B71="","",IF(G71&lt;&gt;"",G71*H71,F71*H71))</f>
        <v/>
      </c>
      <c r="J71" s="24" t="n"/>
      <c r="K71" s="18">
        <f>IF(B71="","",IF(G71&gt;=2000,20,IF(G71&gt;=1000,10,0)))</f>
        <v/>
      </c>
      <c r="L71" s="25" t="n"/>
    </row>
    <row r="72" ht="18" customHeight="1">
      <c r="A72" s="26">
        <f>IF(B72="","",ROW()-4)</f>
        <v/>
      </c>
      <c r="B72" s="15" t="n"/>
      <c r="C72" s="20">
        <f>IF(B72="","",IFERROR(VLOOKUP(B72,'📦产品库'!$B$4:$D$9999,2,0),"⚠️未找到"))</f>
        <v/>
      </c>
      <c r="D72" s="21">
        <f>IF(B72="","",IFERROR(VLOOKUP(B72,'📦产品库'!$B$4:$E$9999,4,0),""))</f>
        <v/>
      </c>
      <c r="E72" s="21">
        <f>IF(B72="","",IFERROR(VLOOKUP(B72,'📦产品库'!$B$4:$F$9999,5,0),""))</f>
        <v/>
      </c>
      <c r="F72" s="22">
        <f>IF(B72="","",IFERROR(VLOOKUP(B72,'📦产品库'!$B$4:$G$9999,6,0),""))</f>
        <v/>
      </c>
      <c r="G72" s="16" t="n"/>
      <c r="H72" s="23">
        <f>IF(B72="","",1)</f>
        <v/>
      </c>
      <c r="I72" s="17">
        <f>IF(B72="","",IF(G72&lt;&gt;"",G72*H72,F72*H72))</f>
        <v/>
      </c>
      <c r="J72" s="24" t="n"/>
      <c r="K72" s="18">
        <f>IF(B72="","",IF(G72&gt;=2000,20,IF(G72&gt;=1000,10,0)))</f>
        <v/>
      </c>
      <c r="L72" s="27" t="n"/>
    </row>
    <row r="73" ht="18" customHeight="1">
      <c r="A73" s="19">
        <f>IF(B73="","",ROW()-4)</f>
        <v/>
      </c>
      <c r="B73" s="15" t="n"/>
      <c r="C73" s="20">
        <f>IF(B73="","",IFERROR(VLOOKUP(B73,'📦产品库'!$B$4:$D$9999,2,0),"⚠️未找到"))</f>
        <v/>
      </c>
      <c r="D73" s="21">
        <f>IF(B73="","",IFERROR(VLOOKUP(B73,'📦产品库'!$B$4:$E$9999,4,0),""))</f>
        <v/>
      </c>
      <c r="E73" s="21">
        <f>IF(B73="","",IFERROR(VLOOKUP(B73,'📦产品库'!$B$4:$F$9999,5,0),""))</f>
        <v/>
      </c>
      <c r="F73" s="22">
        <f>IF(B73="","",IFERROR(VLOOKUP(B73,'📦产品库'!$B$4:$G$9999,6,0),""))</f>
        <v/>
      </c>
      <c r="G73" s="16" t="n"/>
      <c r="H73" s="23">
        <f>IF(B73="","",1)</f>
        <v/>
      </c>
      <c r="I73" s="17">
        <f>IF(B73="","",IF(G73&lt;&gt;"",G73*H73,F73*H73))</f>
        <v/>
      </c>
      <c r="J73" s="24" t="n"/>
      <c r="K73" s="18">
        <f>IF(B73="","",IF(G73&gt;=2000,20,IF(G73&gt;=1000,10,0)))</f>
        <v/>
      </c>
      <c r="L73" s="25" t="n"/>
    </row>
    <row r="74" ht="18" customHeight="1">
      <c r="A74" s="26">
        <f>IF(B74="","",ROW()-4)</f>
        <v/>
      </c>
      <c r="B74" s="15" t="n"/>
      <c r="C74" s="20">
        <f>IF(B74="","",IFERROR(VLOOKUP(B74,'📦产品库'!$B$4:$D$9999,2,0),"⚠️未找到"))</f>
        <v/>
      </c>
      <c r="D74" s="21">
        <f>IF(B74="","",IFERROR(VLOOKUP(B74,'📦产品库'!$B$4:$E$9999,4,0),""))</f>
        <v/>
      </c>
      <c r="E74" s="21">
        <f>IF(B74="","",IFERROR(VLOOKUP(B74,'📦产品库'!$B$4:$F$9999,5,0),""))</f>
        <v/>
      </c>
      <c r="F74" s="22">
        <f>IF(B74="","",IFERROR(VLOOKUP(B74,'📦产品库'!$B$4:$G$9999,6,0),""))</f>
        <v/>
      </c>
      <c r="G74" s="16" t="n"/>
      <c r="H74" s="23">
        <f>IF(B74="","",1)</f>
        <v/>
      </c>
      <c r="I74" s="17">
        <f>IF(B74="","",IF(G74&lt;&gt;"",G74*H74,F74*H74))</f>
        <v/>
      </c>
      <c r="J74" s="24" t="n"/>
      <c r="K74" s="18">
        <f>IF(B74="","",IF(G74&gt;=2000,20,IF(G74&gt;=1000,10,0)))</f>
        <v/>
      </c>
      <c r="L74" s="27" t="n"/>
    </row>
    <row r="75" ht="18" customHeight="1">
      <c r="A75" s="19">
        <f>IF(B75="","",ROW()-4)</f>
        <v/>
      </c>
      <c r="B75" s="15" t="n"/>
      <c r="C75" s="20">
        <f>IF(B75="","",IFERROR(VLOOKUP(B75,'📦产品库'!$B$4:$D$9999,2,0),"⚠️未找到"))</f>
        <v/>
      </c>
      <c r="D75" s="21">
        <f>IF(B75="","",IFERROR(VLOOKUP(B75,'📦产品库'!$B$4:$E$9999,4,0),""))</f>
        <v/>
      </c>
      <c r="E75" s="21">
        <f>IF(B75="","",IFERROR(VLOOKUP(B75,'📦产品库'!$B$4:$F$9999,5,0),""))</f>
        <v/>
      </c>
      <c r="F75" s="22">
        <f>IF(B75="","",IFERROR(VLOOKUP(B75,'📦产品库'!$B$4:$G$9999,6,0),""))</f>
        <v/>
      </c>
      <c r="G75" s="16" t="n"/>
      <c r="H75" s="23">
        <f>IF(B75="","",1)</f>
        <v/>
      </c>
      <c r="I75" s="17">
        <f>IF(B75="","",IF(G75&lt;&gt;"",G75*H75,F75*H75))</f>
        <v/>
      </c>
      <c r="J75" s="24" t="n"/>
      <c r="K75" s="18">
        <f>IF(B75="","",IF(G75&gt;=2000,20,IF(G75&gt;=1000,10,0)))</f>
        <v/>
      </c>
      <c r="L75" s="25" t="n"/>
    </row>
    <row r="76" ht="18" customHeight="1">
      <c r="A76" s="26">
        <f>IF(B76="","",ROW()-4)</f>
        <v/>
      </c>
      <c r="B76" s="15" t="n"/>
      <c r="C76" s="20">
        <f>IF(B76="","",IFERROR(VLOOKUP(B76,'📦产品库'!$B$4:$D$9999,2,0),"⚠️未找到"))</f>
        <v/>
      </c>
      <c r="D76" s="21">
        <f>IF(B76="","",IFERROR(VLOOKUP(B76,'📦产品库'!$B$4:$E$9999,4,0),""))</f>
        <v/>
      </c>
      <c r="E76" s="21">
        <f>IF(B76="","",IFERROR(VLOOKUP(B76,'📦产品库'!$B$4:$F$9999,5,0),""))</f>
        <v/>
      </c>
      <c r="F76" s="22">
        <f>IF(B76="","",IFERROR(VLOOKUP(B76,'📦产品库'!$B$4:$G$9999,6,0),""))</f>
        <v/>
      </c>
      <c r="G76" s="16" t="n"/>
      <c r="H76" s="23">
        <f>IF(B76="","",1)</f>
        <v/>
      </c>
      <c r="I76" s="17">
        <f>IF(B76="","",IF(G76&lt;&gt;"",G76*H76,F76*H76))</f>
        <v/>
      </c>
      <c r="J76" s="24" t="n"/>
      <c r="K76" s="18">
        <f>IF(B76="","",IF(G76&gt;=2000,20,IF(G76&gt;=1000,10,0)))</f>
        <v/>
      </c>
      <c r="L76" s="27" t="n"/>
    </row>
    <row r="77" ht="18" customHeight="1">
      <c r="A77" s="19">
        <f>IF(B77="","",ROW()-4)</f>
        <v/>
      </c>
      <c r="B77" s="15" t="n"/>
      <c r="C77" s="20">
        <f>IF(B77="","",IFERROR(VLOOKUP(B77,'📦产品库'!$B$4:$D$9999,2,0),"⚠️未找到"))</f>
        <v/>
      </c>
      <c r="D77" s="21">
        <f>IF(B77="","",IFERROR(VLOOKUP(B77,'📦产品库'!$B$4:$E$9999,4,0),""))</f>
        <v/>
      </c>
      <c r="E77" s="21">
        <f>IF(B77="","",IFERROR(VLOOKUP(B77,'📦产品库'!$B$4:$F$9999,5,0),""))</f>
        <v/>
      </c>
      <c r="F77" s="22">
        <f>IF(B77="","",IFERROR(VLOOKUP(B77,'📦产品库'!$B$4:$G$9999,6,0),""))</f>
        <v/>
      </c>
      <c r="G77" s="16" t="n"/>
      <c r="H77" s="23">
        <f>IF(B77="","",1)</f>
        <v/>
      </c>
      <c r="I77" s="17">
        <f>IF(B77="","",IF(G77&lt;&gt;"",G77*H77,F77*H77))</f>
        <v/>
      </c>
      <c r="J77" s="24" t="n"/>
      <c r="K77" s="18">
        <f>IF(B77="","",IF(G77&gt;=2000,20,IF(G77&gt;=1000,10,0)))</f>
        <v/>
      </c>
      <c r="L77" s="25" t="n"/>
    </row>
    <row r="78" ht="18" customHeight="1">
      <c r="A78" s="26">
        <f>IF(B78="","",ROW()-4)</f>
        <v/>
      </c>
      <c r="B78" s="15" t="n"/>
      <c r="C78" s="20">
        <f>IF(B78="","",IFERROR(VLOOKUP(B78,'📦产品库'!$B$4:$D$9999,2,0),"⚠️未找到"))</f>
        <v/>
      </c>
      <c r="D78" s="21">
        <f>IF(B78="","",IFERROR(VLOOKUP(B78,'📦产品库'!$B$4:$E$9999,4,0),""))</f>
        <v/>
      </c>
      <c r="E78" s="21">
        <f>IF(B78="","",IFERROR(VLOOKUP(B78,'📦产品库'!$B$4:$F$9999,5,0),""))</f>
        <v/>
      </c>
      <c r="F78" s="22">
        <f>IF(B78="","",IFERROR(VLOOKUP(B78,'📦产品库'!$B$4:$G$9999,6,0),""))</f>
        <v/>
      </c>
      <c r="G78" s="16" t="n"/>
      <c r="H78" s="23">
        <f>IF(B78="","",1)</f>
        <v/>
      </c>
      <c r="I78" s="17">
        <f>IF(B78="","",IF(G78&lt;&gt;"",G78*H78,F78*H78))</f>
        <v/>
      </c>
      <c r="J78" s="24" t="n"/>
      <c r="K78" s="18">
        <f>IF(B78="","",IF(G78&gt;=2000,20,IF(G78&gt;=1000,10,0)))</f>
        <v/>
      </c>
      <c r="L78" s="27" t="n"/>
    </row>
    <row r="79" ht="18" customHeight="1">
      <c r="A79" s="19">
        <f>IF(B79="","",ROW()-4)</f>
        <v/>
      </c>
      <c r="B79" s="15" t="n"/>
      <c r="C79" s="20">
        <f>IF(B79="","",IFERROR(VLOOKUP(B79,'📦产品库'!$B$4:$D$9999,2,0),"⚠️未找到"))</f>
        <v/>
      </c>
      <c r="D79" s="21">
        <f>IF(B79="","",IFERROR(VLOOKUP(B79,'📦产品库'!$B$4:$E$9999,4,0),""))</f>
        <v/>
      </c>
      <c r="E79" s="21">
        <f>IF(B79="","",IFERROR(VLOOKUP(B79,'📦产品库'!$B$4:$F$9999,5,0),""))</f>
        <v/>
      </c>
      <c r="F79" s="22">
        <f>IF(B79="","",IFERROR(VLOOKUP(B79,'📦产品库'!$B$4:$G$9999,6,0),""))</f>
        <v/>
      </c>
      <c r="G79" s="16" t="n"/>
      <c r="H79" s="23">
        <f>IF(B79="","",1)</f>
        <v/>
      </c>
      <c r="I79" s="17">
        <f>IF(B79="","",IF(G79&lt;&gt;"",G79*H79,F79*H79))</f>
        <v/>
      </c>
      <c r="J79" s="24" t="n"/>
      <c r="K79" s="18">
        <f>IF(B79="","",IF(G79&gt;=2000,20,IF(G79&gt;=1000,10,0)))</f>
        <v/>
      </c>
      <c r="L79" s="25" t="n"/>
    </row>
    <row r="80" ht="18" customHeight="1">
      <c r="A80" s="26">
        <f>IF(B80="","",ROW()-4)</f>
        <v/>
      </c>
      <c r="B80" s="15" t="n"/>
      <c r="C80" s="20">
        <f>IF(B80="","",IFERROR(VLOOKUP(B80,'📦产品库'!$B$4:$D$9999,2,0),"⚠️未找到"))</f>
        <v/>
      </c>
      <c r="D80" s="21">
        <f>IF(B80="","",IFERROR(VLOOKUP(B80,'📦产品库'!$B$4:$E$9999,4,0),""))</f>
        <v/>
      </c>
      <c r="E80" s="21">
        <f>IF(B80="","",IFERROR(VLOOKUP(B80,'📦产品库'!$B$4:$F$9999,5,0),""))</f>
        <v/>
      </c>
      <c r="F80" s="22">
        <f>IF(B80="","",IFERROR(VLOOKUP(B80,'📦产品库'!$B$4:$G$9999,6,0),""))</f>
        <v/>
      </c>
      <c r="G80" s="16" t="n"/>
      <c r="H80" s="23">
        <f>IF(B80="","",1)</f>
        <v/>
      </c>
      <c r="I80" s="17">
        <f>IF(B80="","",IF(G80&lt;&gt;"",G80*H80,F80*H80))</f>
        <v/>
      </c>
      <c r="J80" s="24" t="n"/>
      <c r="K80" s="18">
        <f>IF(B80="","",IF(G80&gt;=2000,20,IF(G80&gt;=1000,10,0)))</f>
        <v/>
      </c>
      <c r="L80" s="27" t="n"/>
    </row>
    <row r="81" ht="18" customHeight="1">
      <c r="A81" s="19">
        <f>IF(B81="","",ROW()-4)</f>
        <v/>
      </c>
      <c r="B81" s="15" t="n"/>
      <c r="C81" s="20">
        <f>IF(B81="","",IFERROR(VLOOKUP(B81,'📦产品库'!$B$4:$D$9999,2,0),"⚠️未找到"))</f>
        <v/>
      </c>
      <c r="D81" s="21">
        <f>IF(B81="","",IFERROR(VLOOKUP(B81,'📦产品库'!$B$4:$E$9999,4,0),""))</f>
        <v/>
      </c>
      <c r="E81" s="21">
        <f>IF(B81="","",IFERROR(VLOOKUP(B81,'📦产品库'!$B$4:$F$9999,5,0),""))</f>
        <v/>
      </c>
      <c r="F81" s="22">
        <f>IF(B81="","",IFERROR(VLOOKUP(B81,'📦产品库'!$B$4:$G$9999,6,0),""))</f>
        <v/>
      </c>
      <c r="G81" s="16" t="n"/>
      <c r="H81" s="23">
        <f>IF(B81="","",1)</f>
        <v/>
      </c>
      <c r="I81" s="17">
        <f>IF(B81="","",IF(G81&lt;&gt;"",G81*H81,F81*H81))</f>
        <v/>
      </c>
      <c r="J81" s="24" t="n"/>
      <c r="K81" s="18">
        <f>IF(B81="","",IF(G81&gt;=2000,20,IF(G81&gt;=1000,10,0)))</f>
        <v/>
      </c>
      <c r="L81" s="25" t="n"/>
    </row>
    <row r="82" ht="18" customHeight="1">
      <c r="A82" s="26">
        <f>IF(B82="","",ROW()-4)</f>
        <v/>
      </c>
      <c r="B82" s="15" t="n"/>
      <c r="C82" s="20">
        <f>IF(B82="","",IFERROR(VLOOKUP(B82,'📦产品库'!$B$4:$D$9999,2,0),"⚠️未找到"))</f>
        <v/>
      </c>
      <c r="D82" s="21">
        <f>IF(B82="","",IFERROR(VLOOKUP(B82,'📦产品库'!$B$4:$E$9999,4,0),""))</f>
        <v/>
      </c>
      <c r="E82" s="21">
        <f>IF(B82="","",IFERROR(VLOOKUP(B82,'📦产品库'!$B$4:$F$9999,5,0),""))</f>
        <v/>
      </c>
      <c r="F82" s="22">
        <f>IF(B82="","",IFERROR(VLOOKUP(B82,'📦产品库'!$B$4:$G$9999,6,0),""))</f>
        <v/>
      </c>
      <c r="G82" s="16" t="n"/>
      <c r="H82" s="23">
        <f>IF(B82="","",1)</f>
        <v/>
      </c>
      <c r="I82" s="17">
        <f>IF(B82="","",IF(G82&lt;&gt;"",G82*H82,F82*H82))</f>
        <v/>
      </c>
      <c r="J82" s="24" t="n"/>
      <c r="K82" s="18">
        <f>IF(B82="","",IF(G82&gt;=2000,20,IF(G82&gt;=1000,10,0)))</f>
        <v/>
      </c>
      <c r="L82" s="27" t="n"/>
    </row>
    <row r="83" ht="18" customHeight="1">
      <c r="A83" s="19">
        <f>IF(B83="","",ROW()-4)</f>
        <v/>
      </c>
      <c r="B83" s="15" t="n"/>
      <c r="C83" s="20">
        <f>IF(B83="","",IFERROR(VLOOKUP(B83,'📦产品库'!$B$4:$D$9999,2,0),"⚠️未找到"))</f>
        <v/>
      </c>
      <c r="D83" s="21">
        <f>IF(B83="","",IFERROR(VLOOKUP(B83,'📦产品库'!$B$4:$E$9999,4,0),""))</f>
        <v/>
      </c>
      <c r="E83" s="21">
        <f>IF(B83="","",IFERROR(VLOOKUP(B83,'📦产品库'!$B$4:$F$9999,5,0),""))</f>
        <v/>
      </c>
      <c r="F83" s="22">
        <f>IF(B83="","",IFERROR(VLOOKUP(B83,'📦产品库'!$B$4:$G$9999,6,0),""))</f>
        <v/>
      </c>
      <c r="G83" s="16" t="n"/>
      <c r="H83" s="23">
        <f>IF(B83="","",1)</f>
        <v/>
      </c>
      <c r="I83" s="17">
        <f>IF(B83="","",IF(G83&lt;&gt;"",G83*H83,F83*H83))</f>
        <v/>
      </c>
      <c r="J83" s="24" t="n"/>
      <c r="K83" s="18">
        <f>IF(B83="","",IF(G83&gt;=2000,20,IF(G83&gt;=1000,10,0)))</f>
        <v/>
      </c>
      <c r="L83" s="25" t="n"/>
    </row>
    <row r="84" ht="18" customHeight="1">
      <c r="A84" s="26">
        <f>IF(B84="","",ROW()-4)</f>
        <v/>
      </c>
      <c r="B84" s="15" t="n"/>
      <c r="C84" s="20">
        <f>IF(B84="","",IFERROR(VLOOKUP(B84,'📦产品库'!$B$4:$D$9999,2,0),"⚠️未找到"))</f>
        <v/>
      </c>
      <c r="D84" s="21">
        <f>IF(B84="","",IFERROR(VLOOKUP(B84,'📦产品库'!$B$4:$E$9999,4,0),""))</f>
        <v/>
      </c>
      <c r="E84" s="21">
        <f>IF(B84="","",IFERROR(VLOOKUP(B84,'📦产品库'!$B$4:$F$9999,5,0),""))</f>
        <v/>
      </c>
      <c r="F84" s="22">
        <f>IF(B84="","",IFERROR(VLOOKUP(B84,'📦产品库'!$B$4:$G$9999,6,0),""))</f>
        <v/>
      </c>
      <c r="G84" s="16" t="n"/>
      <c r="H84" s="23">
        <f>IF(B84="","",1)</f>
        <v/>
      </c>
      <c r="I84" s="17">
        <f>IF(B84="","",IF(G84&lt;&gt;"",G84*H84,F84*H84))</f>
        <v/>
      </c>
      <c r="J84" s="24" t="n"/>
      <c r="K84" s="18">
        <f>IF(B84="","",IF(G84&gt;=2000,20,IF(G84&gt;=1000,10,0)))</f>
        <v/>
      </c>
      <c r="L84" s="27" t="n"/>
    </row>
    <row r="85" ht="18" customHeight="1">
      <c r="A85" s="19">
        <f>IF(B85="","",ROW()-4)</f>
        <v/>
      </c>
      <c r="B85" s="15" t="n"/>
      <c r="C85" s="20">
        <f>IF(B85="","",IFERROR(VLOOKUP(B85,'📦产品库'!$B$4:$D$9999,2,0),"⚠️未找到"))</f>
        <v/>
      </c>
      <c r="D85" s="21">
        <f>IF(B85="","",IFERROR(VLOOKUP(B85,'📦产品库'!$B$4:$E$9999,4,0),""))</f>
        <v/>
      </c>
      <c r="E85" s="21">
        <f>IF(B85="","",IFERROR(VLOOKUP(B85,'📦产品库'!$B$4:$F$9999,5,0),""))</f>
        <v/>
      </c>
      <c r="F85" s="22">
        <f>IF(B85="","",IFERROR(VLOOKUP(B85,'📦产品库'!$B$4:$G$9999,6,0),""))</f>
        <v/>
      </c>
      <c r="G85" s="16" t="n"/>
      <c r="H85" s="23">
        <f>IF(B85="","",1)</f>
        <v/>
      </c>
      <c r="I85" s="17">
        <f>IF(B85="","",IF(G85&lt;&gt;"",G85*H85,F85*H85))</f>
        <v/>
      </c>
      <c r="J85" s="24" t="n"/>
      <c r="K85" s="18">
        <f>IF(B85="","",IF(G85&gt;=2000,20,IF(G85&gt;=1000,10,0)))</f>
        <v/>
      </c>
      <c r="L85" s="25" t="n"/>
    </row>
    <row r="86" ht="18" customHeight="1">
      <c r="A86" s="26">
        <f>IF(B86="","",ROW()-4)</f>
        <v/>
      </c>
      <c r="B86" s="15" t="n"/>
      <c r="C86" s="20">
        <f>IF(B86="","",IFERROR(VLOOKUP(B86,'📦产品库'!$B$4:$D$9999,2,0),"⚠️未找到"))</f>
        <v/>
      </c>
      <c r="D86" s="21">
        <f>IF(B86="","",IFERROR(VLOOKUP(B86,'📦产品库'!$B$4:$E$9999,4,0),""))</f>
        <v/>
      </c>
      <c r="E86" s="21">
        <f>IF(B86="","",IFERROR(VLOOKUP(B86,'📦产品库'!$B$4:$F$9999,5,0),""))</f>
        <v/>
      </c>
      <c r="F86" s="22">
        <f>IF(B86="","",IFERROR(VLOOKUP(B86,'📦产品库'!$B$4:$G$9999,6,0),""))</f>
        <v/>
      </c>
      <c r="G86" s="16" t="n"/>
      <c r="H86" s="23">
        <f>IF(B86="","",1)</f>
        <v/>
      </c>
      <c r="I86" s="17">
        <f>IF(B86="","",IF(G86&lt;&gt;"",G86*H86,F86*H86))</f>
        <v/>
      </c>
      <c r="J86" s="24" t="n"/>
      <c r="K86" s="18">
        <f>IF(B86="","",IF(G86&gt;=2000,20,IF(G86&gt;=1000,10,0)))</f>
        <v/>
      </c>
      <c r="L86" s="27" t="n"/>
    </row>
    <row r="87" ht="18" customHeight="1">
      <c r="A87" s="19">
        <f>IF(B87="","",ROW()-4)</f>
        <v/>
      </c>
      <c r="B87" s="15" t="n"/>
      <c r="C87" s="20">
        <f>IF(B87="","",IFERROR(VLOOKUP(B87,'📦产品库'!$B$4:$D$9999,2,0),"⚠️未找到"))</f>
        <v/>
      </c>
      <c r="D87" s="21">
        <f>IF(B87="","",IFERROR(VLOOKUP(B87,'📦产品库'!$B$4:$E$9999,4,0),""))</f>
        <v/>
      </c>
      <c r="E87" s="21">
        <f>IF(B87="","",IFERROR(VLOOKUP(B87,'📦产品库'!$B$4:$F$9999,5,0),""))</f>
        <v/>
      </c>
      <c r="F87" s="22">
        <f>IF(B87="","",IFERROR(VLOOKUP(B87,'📦产品库'!$B$4:$G$9999,6,0),""))</f>
        <v/>
      </c>
      <c r="G87" s="16" t="n"/>
      <c r="H87" s="23">
        <f>IF(B87="","",1)</f>
        <v/>
      </c>
      <c r="I87" s="17">
        <f>IF(B87="","",IF(G87&lt;&gt;"",G87*H87,F87*H87))</f>
        <v/>
      </c>
      <c r="J87" s="24" t="n"/>
      <c r="K87" s="18">
        <f>IF(B87="","",IF(G87&gt;=2000,20,IF(G87&gt;=1000,10,0)))</f>
        <v/>
      </c>
      <c r="L87" s="25" t="n"/>
    </row>
    <row r="88" ht="18" customHeight="1">
      <c r="A88" s="26">
        <f>IF(B88="","",ROW()-4)</f>
        <v/>
      </c>
      <c r="B88" s="15" t="n"/>
      <c r="C88" s="20">
        <f>IF(B88="","",IFERROR(VLOOKUP(B88,'📦产品库'!$B$4:$D$9999,2,0),"⚠️未找到"))</f>
        <v/>
      </c>
      <c r="D88" s="21">
        <f>IF(B88="","",IFERROR(VLOOKUP(B88,'📦产品库'!$B$4:$E$9999,4,0),""))</f>
        <v/>
      </c>
      <c r="E88" s="21">
        <f>IF(B88="","",IFERROR(VLOOKUP(B88,'📦产品库'!$B$4:$F$9999,5,0),""))</f>
        <v/>
      </c>
      <c r="F88" s="22">
        <f>IF(B88="","",IFERROR(VLOOKUP(B88,'📦产品库'!$B$4:$G$9999,6,0),""))</f>
        <v/>
      </c>
      <c r="G88" s="16" t="n"/>
      <c r="H88" s="23">
        <f>IF(B88="","",1)</f>
        <v/>
      </c>
      <c r="I88" s="17">
        <f>IF(B88="","",IF(G88&lt;&gt;"",G88*H88,F88*H88))</f>
        <v/>
      </c>
      <c r="J88" s="24" t="n"/>
      <c r="K88" s="18">
        <f>IF(B88="","",IF(G88&gt;=2000,20,IF(G88&gt;=1000,10,0)))</f>
        <v/>
      </c>
      <c r="L88" s="27" t="n"/>
    </row>
    <row r="89" ht="18" customHeight="1">
      <c r="A89" s="19">
        <f>IF(B89="","",ROW()-4)</f>
        <v/>
      </c>
      <c r="B89" s="15" t="n"/>
      <c r="C89" s="20">
        <f>IF(B89="","",IFERROR(VLOOKUP(B89,'📦产品库'!$B$4:$D$9999,2,0),"⚠️未找到"))</f>
        <v/>
      </c>
      <c r="D89" s="21">
        <f>IF(B89="","",IFERROR(VLOOKUP(B89,'📦产品库'!$B$4:$E$9999,4,0),""))</f>
        <v/>
      </c>
      <c r="E89" s="21">
        <f>IF(B89="","",IFERROR(VLOOKUP(B89,'📦产品库'!$B$4:$F$9999,5,0),""))</f>
        <v/>
      </c>
      <c r="F89" s="22">
        <f>IF(B89="","",IFERROR(VLOOKUP(B89,'📦产品库'!$B$4:$G$9999,6,0),""))</f>
        <v/>
      </c>
      <c r="G89" s="16" t="n"/>
      <c r="H89" s="23">
        <f>IF(B89="","",1)</f>
        <v/>
      </c>
      <c r="I89" s="17">
        <f>IF(B89="","",IF(G89&lt;&gt;"",G89*H89,F89*H89))</f>
        <v/>
      </c>
      <c r="J89" s="24" t="n"/>
      <c r="K89" s="18">
        <f>IF(B89="","",IF(G89&gt;=2000,20,IF(G89&gt;=1000,10,0)))</f>
        <v/>
      </c>
      <c r="L89" s="25" t="n"/>
    </row>
    <row r="90" ht="18" customHeight="1">
      <c r="A90" s="26">
        <f>IF(B90="","",ROW()-4)</f>
        <v/>
      </c>
      <c r="B90" s="15" t="n"/>
      <c r="C90" s="20">
        <f>IF(B90="","",IFERROR(VLOOKUP(B90,'📦产品库'!$B$4:$D$9999,2,0),"⚠️未找到"))</f>
        <v/>
      </c>
      <c r="D90" s="21">
        <f>IF(B90="","",IFERROR(VLOOKUP(B90,'📦产品库'!$B$4:$E$9999,4,0),""))</f>
        <v/>
      </c>
      <c r="E90" s="21">
        <f>IF(B90="","",IFERROR(VLOOKUP(B90,'📦产品库'!$B$4:$F$9999,5,0),""))</f>
        <v/>
      </c>
      <c r="F90" s="22">
        <f>IF(B90="","",IFERROR(VLOOKUP(B90,'📦产品库'!$B$4:$G$9999,6,0),""))</f>
        <v/>
      </c>
      <c r="G90" s="16" t="n"/>
      <c r="H90" s="23">
        <f>IF(B90="","",1)</f>
        <v/>
      </c>
      <c r="I90" s="17">
        <f>IF(B90="","",IF(G90&lt;&gt;"",G90*H90,F90*H90))</f>
        <v/>
      </c>
      <c r="J90" s="24" t="n"/>
      <c r="K90" s="18">
        <f>IF(B90="","",IF(G90&gt;=2000,20,IF(G90&gt;=1000,10,0)))</f>
        <v/>
      </c>
      <c r="L90" s="27" t="n"/>
    </row>
    <row r="91" ht="18" customHeight="1">
      <c r="A91" s="19">
        <f>IF(B91="","",ROW()-4)</f>
        <v/>
      </c>
      <c r="B91" s="15" t="n"/>
      <c r="C91" s="20">
        <f>IF(B91="","",IFERROR(VLOOKUP(B91,'📦产品库'!$B$4:$D$9999,2,0),"⚠️未找到"))</f>
        <v/>
      </c>
      <c r="D91" s="21">
        <f>IF(B91="","",IFERROR(VLOOKUP(B91,'📦产品库'!$B$4:$E$9999,4,0),""))</f>
        <v/>
      </c>
      <c r="E91" s="21">
        <f>IF(B91="","",IFERROR(VLOOKUP(B91,'📦产品库'!$B$4:$F$9999,5,0),""))</f>
        <v/>
      </c>
      <c r="F91" s="22">
        <f>IF(B91="","",IFERROR(VLOOKUP(B91,'📦产品库'!$B$4:$G$9999,6,0),""))</f>
        <v/>
      </c>
      <c r="G91" s="16" t="n"/>
      <c r="H91" s="23">
        <f>IF(B91="","",1)</f>
        <v/>
      </c>
      <c r="I91" s="17">
        <f>IF(B91="","",IF(G91&lt;&gt;"",G91*H91,F91*H91))</f>
        <v/>
      </c>
      <c r="J91" s="24" t="n"/>
      <c r="K91" s="18">
        <f>IF(B91="","",IF(G91&gt;=2000,20,IF(G91&gt;=1000,10,0)))</f>
        <v/>
      </c>
      <c r="L91" s="25" t="n"/>
    </row>
    <row r="92" ht="18" customHeight="1">
      <c r="A92" s="26">
        <f>IF(B92="","",ROW()-4)</f>
        <v/>
      </c>
      <c r="B92" s="15" t="n"/>
      <c r="C92" s="20">
        <f>IF(B92="","",IFERROR(VLOOKUP(B92,'📦产品库'!$B$4:$D$9999,2,0),"⚠️未找到"))</f>
        <v/>
      </c>
      <c r="D92" s="21">
        <f>IF(B92="","",IFERROR(VLOOKUP(B92,'📦产品库'!$B$4:$E$9999,4,0),""))</f>
        <v/>
      </c>
      <c r="E92" s="21">
        <f>IF(B92="","",IFERROR(VLOOKUP(B92,'📦产品库'!$B$4:$F$9999,5,0),""))</f>
        <v/>
      </c>
      <c r="F92" s="22">
        <f>IF(B92="","",IFERROR(VLOOKUP(B92,'📦产品库'!$B$4:$G$9999,6,0),""))</f>
        <v/>
      </c>
      <c r="G92" s="16" t="n"/>
      <c r="H92" s="23">
        <f>IF(B92="","",1)</f>
        <v/>
      </c>
      <c r="I92" s="17">
        <f>IF(B92="","",IF(G92&lt;&gt;"",G92*H92,F92*H92))</f>
        <v/>
      </c>
      <c r="J92" s="24" t="n"/>
      <c r="K92" s="18">
        <f>IF(B92="","",IF(G92&gt;=2000,20,IF(G92&gt;=1000,10,0)))</f>
        <v/>
      </c>
      <c r="L92" s="27" t="n"/>
    </row>
    <row r="93" ht="18" customHeight="1">
      <c r="A93" s="19">
        <f>IF(B93="","",ROW()-4)</f>
        <v/>
      </c>
      <c r="B93" s="15" t="n"/>
      <c r="C93" s="20">
        <f>IF(B93="","",IFERROR(VLOOKUP(B93,'📦产品库'!$B$4:$D$9999,2,0),"⚠️未找到"))</f>
        <v/>
      </c>
      <c r="D93" s="21">
        <f>IF(B93="","",IFERROR(VLOOKUP(B93,'📦产品库'!$B$4:$E$9999,4,0),""))</f>
        <v/>
      </c>
      <c r="E93" s="21">
        <f>IF(B93="","",IFERROR(VLOOKUP(B93,'📦产品库'!$B$4:$F$9999,5,0),""))</f>
        <v/>
      </c>
      <c r="F93" s="22">
        <f>IF(B93="","",IFERROR(VLOOKUP(B93,'📦产品库'!$B$4:$G$9999,6,0),""))</f>
        <v/>
      </c>
      <c r="G93" s="16" t="n"/>
      <c r="H93" s="23">
        <f>IF(B93="","",1)</f>
        <v/>
      </c>
      <c r="I93" s="17">
        <f>IF(B93="","",IF(G93&lt;&gt;"",G93*H93,F93*H93))</f>
        <v/>
      </c>
      <c r="J93" s="24" t="n"/>
      <c r="K93" s="18">
        <f>IF(B93="","",IF(G93&gt;=2000,20,IF(G93&gt;=1000,10,0)))</f>
        <v/>
      </c>
      <c r="L93" s="25" t="n"/>
    </row>
    <row r="94" ht="18" customHeight="1">
      <c r="A94" s="26">
        <f>IF(B94="","",ROW()-4)</f>
        <v/>
      </c>
      <c r="B94" s="15" t="n"/>
      <c r="C94" s="20">
        <f>IF(B94="","",IFERROR(VLOOKUP(B94,'📦产品库'!$B$4:$D$9999,2,0),"⚠️未找到"))</f>
        <v/>
      </c>
      <c r="D94" s="21">
        <f>IF(B94="","",IFERROR(VLOOKUP(B94,'📦产品库'!$B$4:$E$9999,4,0),""))</f>
        <v/>
      </c>
      <c r="E94" s="21">
        <f>IF(B94="","",IFERROR(VLOOKUP(B94,'📦产品库'!$B$4:$F$9999,5,0),""))</f>
        <v/>
      </c>
      <c r="F94" s="22">
        <f>IF(B94="","",IFERROR(VLOOKUP(B94,'📦产品库'!$B$4:$G$9999,6,0),""))</f>
        <v/>
      </c>
      <c r="G94" s="16" t="n"/>
      <c r="H94" s="23">
        <f>IF(B94="","",1)</f>
        <v/>
      </c>
      <c r="I94" s="17">
        <f>IF(B94="","",IF(G94&lt;&gt;"",G94*H94,F94*H94))</f>
        <v/>
      </c>
      <c r="J94" s="24" t="n"/>
      <c r="K94" s="18">
        <f>IF(B94="","",IF(G94&gt;=2000,20,IF(G94&gt;=1000,10,0)))</f>
        <v/>
      </c>
      <c r="L94" s="27" t="n"/>
    </row>
    <row r="95" ht="18" customHeight="1">
      <c r="A95" s="19">
        <f>IF(B95="","",ROW()-4)</f>
        <v/>
      </c>
      <c r="B95" s="15" t="n"/>
      <c r="C95" s="20">
        <f>IF(B95="","",IFERROR(VLOOKUP(B95,'📦产品库'!$B$4:$D$9999,2,0),"⚠️未找到"))</f>
        <v/>
      </c>
      <c r="D95" s="21">
        <f>IF(B95="","",IFERROR(VLOOKUP(B95,'📦产品库'!$B$4:$E$9999,4,0),""))</f>
        <v/>
      </c>
      <c r="E95" s="21">
        <f>IF(B95="","",IFERROR(VLOOKUP(B95,'📦产品库'!$B$4:$F$9999,5,0),""))</f>
        <v/>
      </c>
      <c r="F95" s="22">
        <f>IF(B95="","",IFERROR(VLOOKUP(B95,'📦产品库'!$B$4:$G$9999,6,0),""))</f>
        <v/>
      </c>
      <c r="G95" s="16" t="n"/>
      <c r="H95" s="23">
        <f>IF(B95="","",1)</f>
        <v/>
      </c>
      <c r="I95" s="17">
        <f>IF(B95="","",IF(G95&lt;&gt;"",G95*H95,F95*H95))</f>
        <v/>
      </c>
      <c r="J95" s="24" t="n"/>
      <c r="K95" s="18">
        <f>IF(B95="","",IF(G95&gt;=2000,20,IF(G95&gt;=1000,10,0)))</f>
        <v/>
      </c>
      <c r="L95" s="25" t="n"/>
    </row>
    <row r="96" ht="18" customHeight="1">
      <c r="A96" s="26">
        <f>IF(B96="","",ROW()-4)</f>
        <v/>
      </c>
      <c r="B96" s="15" t="n"/>
      <c r="C96" s="20">
        <f>IF(B96="","",IFERROR(VLOOKUP(B96,'📦产品库'!$B$4:$D$9999,2,0),"⚠️未找到"))</f>
        <v/>
      </c>
      <c r="D96" s="21">
        <f>IF(B96="","",IFERROR(VLOOKUP(B96,'📦产品库'!$B$4:$E$9999,4,0),""))</f>
        <v/>
      </c>
      <c r="E96" s="21">
        <f>IF(B96="","",IFERROR(VLOOKUP(B96,'📦产品库'!$B$4:$F$9999,5,0),""))</f>
        <v/>
      </c>
      <c r="F96" s="22">
        <f>IF(B96="","",IFERROR(VLOOKUP(B96,'📦产品库'!$B$4:$G$9999,6,0),""))</f>
        <v/>
      </c>
      <c r="G96" s="16" t="n"/>
      <c r="H96" s="23">
        <f>IF(B96="","",1)</f>
        <v/>
      </c>
      <c r="I96" s="17">
        <f>IF(B96="","",IF(G96&lt;&gt;"",G96*H96,F96*H96))</f>
        <v/>
      </c>
      <c r="J96" s="24" t="n"/>
      <c r="K96" s="18">
        <f>IF(B96="","",IF(G96&gt;=2000,20,IF(G96&gt;=1000,10,0)))</f>
        <v/>
      </c>
      <c r="L96" s="27" t="n"/>
    </row>
    <row r="97" ht="18" customHeight="1">
      <c r="A97" s="19">
        <f>IF(B97="","",ROW()-4)</f>
        <v/>
      </c>
      <c r="B97" s="15" t="n"/>
      <c r="C97" s="20">
        <f>IF(B97="","",IFERROR(VLOOKUP(B97,'📦产品库'!$B$4:$D$9999,2,0),"⚠️未找到"))</f>
        <v/>
      </c>
      <c r="D97" s="21">
        <f>IF(B97="","",IFERROR(VLOOKUP(B97,'📦产品库'!$B$4:$E$9999,4,0),""))</f>
        <v/>
      </c>
      <c r="E97" s="21">
        <f>IF(B97="","",IFERROR(VLOOKUP(B97,'📦产品库'!$B$4:$F$9999,5,0),""))</f>
        <v/>
      </c>
      <c r="F97" s="22">
        <f>IF(B97="","",IFERROR(VLOOKUP(B97,'📦产品库'!$B$4:$G$9999,6,0),""))</f>
        <v/>
      </c>
      <c r="G97" s="16" t="n"/>
      <c r="H97" s="23">
        <f>IF(B97="","",1)</f>
        <v/>
      </c>
      <c r="I97" s="17">
        <f>IF(B97="","",IF(G97&lt;&gt;"",G97*H97,F97*H97))</f>
        <v/>
      </c>
      <c r="J97" s="24" t="n"/>
      <c r="K97" s="18">
        <f>IF(B97="","",IF(G97&gt;=2000,20,IF(G97&gt;=1000,10,0)))</f>
        <v/>
      </c>
      <c r="L97" s="25" t="n"/>
    </row>
    <row r="98" ht="18" customHeight="1">
      <c r="A98" s="26">
        <f>IF(B98="","",ROW()-4)</f>
        <v/>
      </c>
      <c r="B98" s="15" t="n"/>
      <c r="C98" s="20">
        <f>IF(B98="","",IFERROR(VLOOKUP(B98,'📦产品库'!$B$4:$D$9999,2,0),"⚠️未找到"))</f>
        <v/>
      </c>
      <c r="D98" s="21">
        <f>IF(B98="","",IFERROR(VLOOKUP(B98,'📦产品库'!$B$4:$E$9999,4,0),""))</f>
        <v/>
      </c>
      <c r="E98" s="21">
        <f>IF(B98="","",IFERROR(VLOOKUP(B98,'📦产品库'!$B$4:$F$9999,5,0),""))</f>
        <v/>
      </c>
      <c r="F98" s="22">
        <f>IF(B98="","",IFERROR(VLOOKUP(B98,'📦产品库'!$B$4:$G$9999,6,0),""))</f>
        <v/>
      </c>
      <c r="G98" s="16" t="n"/>
      <c r="H98" s="23">
        <f>IF(B98="","",1)</f>
        <v/>
      </c>
      <c r="I98" s="17">
        <f>IF(B98="","",IF(G98&lt;&gt;"",G98*H98,F98*H98))</f>
        <v/>
      </c>
      <c r="J98" s="24" t="n"/>
      <c r="K98" s="18">
        <f>IF(B98="","",IF(G98&gt;=2000,20,IF(G98&gt;=1000,10,0)))</f>
        <v/>
      </c>
      <c r="L98" s="27" t="n"/>
    </row>
    <row r="99" ht="18" customHeight="1">
      <c r="A99" s="19">
        <f>IF(B99="","",ROW()-4)</f>
        <v/>
      </c>
      <c r="B99" s="15" t="n"/>
      <c r="C99" s="20">
        <f>IF(B99="","",IFERROR(VLOOKUP(B99,'📦产品库'!$B$4:$D$9999,2,0),"⚠️未找到"))</f>
        <v/>
      </c>
      <c r="D99" s="21">
        <f>IF(B99="","",IFERROR(VLOOKUP(B99,'📦产品库'!$B$4:$E$9999,4,0),""))</f>
        <v/>
      </c>
      <c r="E99" s="21">
        <f>IF(B99="","",IFERROR(VLOOKUP(B99,'📦产品库'!$B$4:$F$9999,5,0),""))</f>
        <v/>
      </c>
      <c r="F99" s="22">
        <f>IF(B99="","",IFERROR(VLOOKUP(B99,'📦产品库'!$B$4:$G$9999,6,0),""))</f>
        <v/>
      </c>
      <c r="G99" s="16" t="n"/>
      <c r="H99" s="23">
        <f>IF(B99="","",1)</f>
        <v/>
      </c>
      <c r="I99" s="17">
        <f>IF(B99="","",IF(G99&lt;&gt;"",G99*H99,F99*H99))</f>
        <v/>
      </c>
      <c r="J99" s="24" t="n"/>
      <c r="K99" s="18">
        <f>IF(B99="","",IF(G99&gt;=2000,20,IF(G99&gt;=1000,10,0)))</f>
        <v/>
      </c>
      <c r="L99" s="25" t="n"/>
    </row>
    <row r="100" ht="18" customHeight="1">
      <c r="A100" s="26">
        <f>IF(B100="","",ROW()-4)</f>
        <v/>
      </c>
      <c r="B100" s="15" t="n"/>
      <c r="C100" s="20">
        <f>IF(B100="","",IFERROR(VLOOKUP(B100,'📦产品库'!$B$4:$D$9999,2,0),"⚠️未找到"))</f>
        <v/>
      </c>
      <c r="D100" s="21">
        <f>IF(B100="","",IFERROR(VLOOKUP(B100,'📦产品库'!$B$4:$E$9999,4,0),""))</f>
        <v/>
      </c>
      <c r="E100" s="21">
        <f>IF(B100="","",IFERROR(VLOOKUP(B100,'📦产品库'!$B$4:$F$9999,5,0),""))</f>
        <v/>
      </c>
      <c r="F100" s="22">
        <f>IF(B100="","",IFERROR(VLOOKUP(B100,'📦产品库'!$B$4:$G$9999,6,0),""))</f>
        <v/>
      </c>
      <c r="G100" s="16" t="n"/>
      <c r="H100" s="23">
        <f>IF(B100="","",1)</f>
        <v/>
      </c>
      <c r="I100" s="17">
        <f>IF(B100="","",IF(G100&lt;&gt;"",G100*H100,F100*H100))</f>
        <v/>
      </c>
      <c r="J100" s="24" t="n"/>
      <c r="K100" s="18">
        <f>IF(B100="","",IF(G100&gt;=2000,20,IF(G100&gt;=1000,10,0)))</f>
        <v/>
      </c>
      <c r="L100" s="27" t="n"/>
    </row>
    <row r="101" ht="18" customHeight="1">
      <c r="A101" s="19">
        <f>IF(B101="","",ROW()-4)</f>
        <v/>
      </c>
      <c r="B101" s="15" t="n"/>
      <c r="C101" s="20">
        <f>IF(B101="","",IFERROR(VLOOKUP(B101,'📦产品库'!$B$4:$D$9999,2,0),"⚠️未找到"))</f>
        <v/>
      </c>
      <c r="D101" s="21">
        <f>IF(B101="","",IFERROR(VLOOKUP(B101,'📦产品库'!$B$4:$E$9999,4,0),""))</f>
        <v/>
      </c>
      <c r="E101" s="21">
        <f>IF(B101="","",IFERROR(VLOOKUP(B101,'📦产品库'!$B$4:$F$9999,5,0),""))</f>
        <v/>
      </c>
      <c r="F101" s="22">
        <f>IF(B101="","",IFERROR(VLOOKUP(B101,'📦产品库'!$B$4:$G$9999,6,0),""))</f>
        <v/>
      </c>
      <c r="G101" s="16" t="n"/>
      <c r="H101" s="23">
        <f>IF(B101="","",1)</f>
        <v/>
      </c>
      <c r="I101" s="17">
        <f>IF(B101="","",IF(G101&lt;&gt;"",G101*H101,F101*H101))</f>
        <v/>
      </c>
      <c r="J101" s="24" t="n"/>
      <c r="K101" s="18">
        <f>IF(B101="","",IF(G101&gt;=2000,20,IF(G101&gt;=1000,10,0)))</f>
        <v/>
      </c>
      <c r="L101" s="25" t="n"/>
    </row>
    <row r="102" ht="18" customHeight="1">
      <c r="A102" s="26">
        <f>IF(B102="","",ROW()-4)</f>
        <v/>
      </c>
      <c r="B102" s="15" t="n"/>
      <c r="C102" s="20">
        <f>IF(B102="","",IFERROR(VLOOKUP(B102,'📦产品库'!$B$4:$D$9999,2,0),"⚠️未找到"))</f>
        <v/>
      </c>
      <c r="D102" s="21">
        <f>IF(B102="","",IFERROR(VLOOKUP(B102,'📦产品库'!$B$4:$E$9999,4,0),""))</f>
        <v/>
      </c>
      <c r="E102" s="21">
        <f>IF(B102="","",IFERROR(VLOOKUP(B102,'📦产品库'!$B$4:$F$9999,5,0),""))</f>
        <v/>
      </c>
      <c r="F102" s="22">
        <f>IF(B102="","",IFERROR(VLOOKUP(B102,'📦产品库'!$B$4:$G$9999,6,0),""))</f>
        <v/>
      </c>
      <c r="G102" s="16" t="n"/>
      <c r="H102" s="23">
        <f>IF(B102="","",1)</f>
        <v/>
      </c>
      <c r="I102" s="17">
        <f>IF(B102="","",IF(G102&lt;&gt;"",G102*H102,F102*H102))</f>
        <v/>
      </c>
      <c r="J102" s="24" t="n"/>
      <c r="K102" s="18">
        <f>IF(B102="","",IF(G102&gt;=2000,20,IF(G102&gt;=1000,10,0)))</f>
        <v/>
      </c>
      <c r="L102" s="27" t="n"/>
    </row>
    <row r="103" ht="18" customHeight="1">
      <c r="A103" s="19">
        <f>IF(B103="","",ROW()-4)</f>
        <v/>
      </c>
      <c r="B103" s="15" t="n"/>
      <c r="C103" s="20">
        <f>IF(B103="","",IFERROR(VLOOKUP(B103,'📦产品库'!$B$4:$D$9999,2,0),"⚠️未找到"))</f>
        <v/>
      </c>
      <c r="D103" s="21">
        <f>IF(B103="","",IFERROR(VLOOKUP(B103,'📦产品库'!$B$4:$E$9999,4,0),""))</f>
        <v/>
      </c>
      <c r="E103" s="21">
        <f>IF(B103="","",IFERROR(VLOOKUP(B103,'📦产品库'!$B$4:$F$9999,5,0),""))</f>
        <v/>
      </c>
      <c r="F103" s="22">
        <f>IF(B103="","",IFERROR(VLOOKUP(B103,'📦产品库'!$B$4:$G$9999,6,0),""))</f>
        <v/>
      </c>
      <c r="G103" s="16" t="n"/>
      <c r="H103" s="23">
        <f>IF(B103="","",1)</f>
        <v/>
      </c>
      <c r="I103" s="17">
        <f>IF(B103="","",IF(G103&lt;&gt;"",G103*H103,F103*H103))</f>
        <v/>
      </c>
      <c r="J103" s="24" t="n"/>
      <c r="K103" s="18">
        <f>IF(B103="","",IF(G103&gt;=2000,20,IF(G103&gt;=1000,10,0)))</f>
        <v/>
      </c>
      <c r="L103" s="25" t="n"/>
    </row>
    <row r="104" ht="18" customHeight="1">
      <c r="A104" s="26">
        <f>IF(B104="","",ROW()-4)</f>
        <v/>
      </c>
      <c r="B104" s="15" t="n"/>
      <c r="C104" s="20">
        <f>IF(B104="","",IFERROR(VLOOKUP(B104,'📦产品库'!$B$4:$D$9999,2,0),"⚠️未找到"))</f>
        <v/>
      </c>
      <c r="D104" s="21">
        <f>IF(B104="","",IFERROR(VLOOKUP(B104,'📦产品库'!$B$4:$E$9999,4,0),""))</f>
        <v/>
      </c>
      <c r="E104" s="21">
        <f>IF(B104="","",IFERROR(VLOOKUP(B104,'📦产品库'!$B$4:$F$9999,5,0),""))</f>
        <v/>
      </c>
      <c r="F104" s="22">
        <f>IF(B104="","",IFERROR(VLOOKUP(B104,'📦产品库'!$B$4:$G$9999,6,0),""))</f>
        <v/>
      </c>
      <c r="G104" s="16" t="n"/>
      <c r="H104" s="23">
        <f>IF(B104="","",1)</f>
        <v/>
      </c>
      <c r="I104" s="17">
        <f>IF(B104="","",IF(G104&lt;&gt;"",G104*H104,F104*H104))</f>
        <v/>
      </c>
      <c r="J104" s="24" t="n"/>
      <c r="K104" s="18">
        <f>IF(B104="","",IF(G104&gt;=2000,20,IF(G104&gt;=1000,10,0)))</f>
        <v/>
      </c>
      <c r="L104" s="27" t="n"/>
    </row>
    <row r="105" ht="18" customHeight="1">
      <c r="A105" s="19">
        <f>IF(B105="","",ROW()-4)</f>
        <v/>
      </c>
      <c r="B105" s="15" t="n"/>
      <c r="C105" s="20">
        <f>IF(B105="","",IFERROR(VLOOKUP(B105,'📦产品库'!$B$4:$D$9999,2,0),"⚠️未找到"))</f>
        <v/>
      </c>
      <c r="D105" s="21">
        <f>IF(B105="","",IFERROR(VLOOKUP(B105,'📦产品库'!$B$4:$E$9999,4,0),""))</f>
        <v/>
      </c>
      <c r="E105" s="21">
        <f>IF(B105="","",IFERROR(VLOOKUP(B105,'📦产品库'!$B$4:$F$9999,5,0),""))</f>
        <v/>
      </c>
      <c r="F105" s="22">
        <f>IF(B105="","",IFERROR(VLOOKUP(B105,'📦产品库'!$B$4:$G$9999,6,0),""))</f>
        <v/>
      </c>
      <c r="G105" s="16" t="n"/>
      <c r="H105" s="23">
        <f>IF(B105="","",1)</f>
        <v/>
      </c>
      <c r="I105" s="17">
        <f>IF(B105="","",IF(G105&lt;&gt;"",G105*H105,F105*H105))</f>
        <v/>
      </c>
      <c r="J105" s="24" t="n"/>
      <c r="K105" s="18">
        <f>IF(B105="","",IF(G105&gt;=2000,20,IF(G105&gt;=1000,10,0)))</f>
        <v/>
      </c>
      <c r="L105" s="25" t="n"/>
    </row>
    <row r="106" ht="18" customHeight="1">
      <c r="A106" s="26">
        <f>IF(B106="","",ROW()-4)</f>
        <v/>
      </c>
      <c r="B106" s="15" t="n"/>
      <c r="C106" s="20">
        <f>IF(B106="","",IFERROR(VLOOKUP(B106,'📦产品库'!$B$4:$D$9999,2,0),"⚠️未找到"))</f>
        <v/>
      </c>
      <c r="D106" s="21">
        <f>IF(B106="","",IFERROR(VLOOKUP(B106,'📦产品库'!$B$4:$E$9999,4,0),""))</f>
        <v/>
      </c>
      <c r="E106" s="21">
        <f>IF(B106="","",IFERROR(VLOOKUP(B106,'📦产品库'!$B$4:$F$9999,5,0),""))</f>
        <v/>
      </c>
      <c r="F106" s="22">
        <f>IF(B106="","",IFERROR(VLOOKUP(B106,'📦产品库'!$B$4:$G$9999,6,0),""))</f>
        <v/>
      </c>
      <c r="G106" s="16" t="n"/>
      <c r="H106" s="23">
        <f>IF(B106="","",1)</f>
        <v/>
      </c>
      <c r="I106" s="17">
        <f>IF(B106="","",IF(G106&lt;&gt;"",G106*H106,F106*H106))</f>
        <v/>
      </c>
      <c r="J106" s="24" t="n"/>
      <c r="K106" s="18">
        <f>IF(B106="","",IF(G106&gt;=2000,20,IF(G106&gt;=1000,10,0)))</f>
        <v/>
      </c>
      <c r="L106" s="27" t="n"/>
    </row>
    <row r="107" ht="18" customHeight="1">
      <c r="A107" s="19">
        <f>IF(B107="","",ROW()-4)</f>
        <v/>
      </c>
      <c r="B107" s="15" t="n"/>
      <c r="C107" s="20">
        <f>IF(B107="","",IFERROR(VLOOKUP(B107,'📦产品库'!$B$4:$D$9999,2,0),"⚠️未找到"))</f>
        <v/>
      </c>
      <c r="D107" s="21">
        <f>IF(B107="","",IFERROR(VLOOKUP(B107,'📦产品库'!$B$4:$E$9999,4,0),""))</f>
        <v/>
      </c>
      <c r="E107" s="21">
        <f>IF(B107="","",IFERROR(VLOOKUP(B107,'📦产品库'!$B$4:$F$9999,5,0),""))</f>
        <v/>
      </c>
      <c r="F107" s="22">
        <f>IF(B107="","",IFERROR(VLOOKUP(B107,'📦产品库'!$B$4:$G$9999,6,0),""))</f>
        <v/>
      </c>
      <c r="G107" s="16" t="n"/>
      <c r="H107" s="23">
        <f>IF(B107="","",1)</f>
        <v/>
      </c>
      <c r="I107" s="17">
        <f>IF(B107="","",IF(G107&lt;&gt;"",G107*H107,F107*H107))</f>
        <v/>
      </c>
      <c r="J107" s="24" t="n"/>
      <c r="K107" s="18">
        <f>IF(B107="","",IF(G107&gt;=2000,20,IF(G107&gt;=1000,10,0)))</f>
        <v/>
      </c>
      <c r="L107" s="25" t="n"/>
    </row>
    <row r="108" ht="18" customHeight="1">
      <c r="A108" s="26">
        <f>IF(B108="","",ROW()-4)</f>
        <v/>
      </c>
      <c r="B108" s="15" t="n"/>
      <c r="C108" s="20">
        <f>IF(B108="","",IFERROR(VLOOKUP(B108,'📦产品库'!$B$4:$D$9999,2,0),"⚠️未找到"))</f>
        <v/>
      </c>
      <c r="D108" s="21">
        <f>IF(B108="","",IFERROR(VLOOKUP(B108,'📦产品库'!$B$4:$E$9999,4,0),""))</f>
        <v/>
      </c>
      <c r="E108" s="21">
        <f>IF(B108="","",IFERROR(VLOOKUP(B108,'📦产品库'!$B$4:$F$9999,5,0),""))</f>
        <v/>
      </c>
      <c r="F108" s="22">
        <f>IF(B108="","",IFERROR(VLOOKUP(B108,'📦产品库'!$B$4:$G$9999,6,0),""))</f>
        <v/>
      </c>
      <c r="G108" s="16" t="n"/>
      <c r="H108" s="23">
        <f>IF(B108="","",1)</f>
        <v/>
      </c>
      <c r="I108" s="17">
        <f>IF(B108="","",IF(G108&lt;&gt;"",G108*H108,F108*H108))</f>
        <v/>
      </c>
      <c r="J108" s="24" t="n"/>
      <c r="K108" s="18">
        <f>IF(B108="","",IF(G108&gt;=2000,20,IF(G108&gt;=1000,10,0)))</f>
        <v/>
      </c>
      <c r="L108" s="27" t="n"/>
    </row>
    <row r="109" ht="18" customHeight="1">
      <c r="A109" s="19">
        <f>IF(B109="","",ROW()-4)</f>
        <v/>
      </c>
      <c r="B109" s="15" t="n"/>
      <c r="C109" s="20">
        <f>IF(B109="","",IFERROR(VLOOKUP(B109,'📦产品库'!$B$4:$D$9999,2,0),"⚠️未找到"))</f>
        <v/>
      </c>
      <c r="D109" s="21">
        <f>IF(B109="","",IFERROR(VLOOKUP(B109,'📦产品库'!$B$4:$E$9999,4,0),""))</f>
        <v/>
      </c>
      <c r="E109" s="21">
        <f>IF(B109="","",IFERROR(VLOOKUP(B109,'📦产品库'!$B$4:$F$9999,5,0),""))</f>
        <v/>
      </c>
      <c r="F109" s="22">
        <f>IF(B109="","",IFERROR(VLOOKUP(B109,'📦产品库'!$B$4:$G$9999,6,0),""))</f>
        <v/>
      </c>
      <c r="G109" s="16" t="n"/>
      <c r="H109" s="23">
        <f>IF(B109="","",1)</f>
        <v/>
      </c>
      <c r="I109" s="17">
        <f>IF(B109="","",IF(G109&lt;&gt;"",G109*H109,F109*H109))</f>
        <v/>
      </c>
      <c r="J109" s="24" t="n"/>
      <c r="K109" s="18">
        <f>IF(B109="","",IF(G109&gt;=2000,20,IF(G109&gt;=1000,10,0)))</f>
        <v/>
      </c>
      <c r="L109" s="25" t="n"/>
    </row>
    <row r="110" ht="18" customHeight="1">
      <c r="A110" s="26">
        <f>IF(B110="","",ROW()-4)</f>
        <v/>
      </c>
      <c r="B110" s="15" t="n"/>
      <c r="C110" s="20">
        <f>IF(B110="","",IFERROR(VLOOKUP(B110,'📦产品库'!$B$4:$D$9999,2,0),"⚠️未找到"))</f>
        <v/>
      </c>
      <c r="D110" s="21">
        <f>IF(B110="","",IFERROR(VLOOKUP(B110,'📦产品库'!$B$4:$E$9999,4,0),""))</f>
        <v/>
      </c>
      <c r="E110" s="21">
        <f>IF(B110="","",IFERROR(VLOOKUP(B110,'📦产品库'!$B$4:$F$9999,5,0),""))</f>
        <v/>
      </c>
      <c r="F110" s="22">
        <f>IF(B110="","",IFERROR(VLOOKUP(B110,'📦产品库'!$B$4:$G$9999,6,0),""))</f>
        <v/>
      </c>
      <c r="G110" s="16" t="n"/>
      <c r="H110" s="23">
        <f>IF(B110="","",1)</f>
        <v/>
      </c>
      <c r="I110" s="17">
        <f>IF(B110="","",IF(G110&lt;&gt;"",G110*H110,F110*H110))</f>
        <v/>
      </c>
      <c r="J110" s="24" t="n"/>
      <c r="K110" s="18">
        <f>IF(B110="","",IF(G110&gt;=2000,20,IF(G110&gt;=1000,10,0)))</f>
        <v/>
      </c>
      <c r="L110" s="27" t="n"/>
    </row>
    <row r="111" ht="18" customHeight="1">
      <c r="A111" s="19">
        <f>IF(B111="","",ROW()-4)</f>
        <v/>
      </c>
      <c r="B111" s="15" t="n"/>
      <c r="C111" s="20">
        <f>IF(B111="","",IFERROR(VLOOKUP(B111,'📦产品库'!$B$4:$D$9999,2,0),"⚠️未找到"))</f>
        <v/>
      </c>
      <c r="D111" s="21">
        <f>IF(B111="","",IFERROR(VLOOKUP(B111,'📦产品库'!$B$4:$E$9999,4,0),""))</f>
        <v/>
      </c>
      <c r="E111" s="21">
        <f>IF(B111="","",IFERROR(VLOOKUP(B111,'📦产品库'!$B$4:$F$9999,5,0),""))</f>
        <v/>
      </c>
      <c r="F111" s="22">
        <f>IF(B111="","",IFERROR(VLOOKUP(B111,'📦产品库'!$B$4:$G$9999,6,0),""))</f>
        <v/>
      </c>
      <c r="G111" s="16" t="n"/>
      <c r="H111" s="23">
        <f>IF(B111="","",1)</f>
        <v/>
      </c>
      <c r="I111" s="17">
        <f>IF(B111="","",IF(G111&lt;&gt;"",G111*H111,F111*H111))</f>
        <v/>
      </c>
      <c r="J111" s="24" t="n"/>
      <c r="K111" s="18">
        <f>IF(B111="","",IF(G111&gt;=2000,20,IF(G111&gt;=1000,10,0)))</f>
        <v/>
      </c>
      <c r="L111" s="25" t="n"/>
    </row>
    <row r="112" ht="18" customHeight="1">
      <c r="A112" s="26">
        <f>IF(B112="","",ROW()-4)</f>
        <v/>
      </c>
      <c r="B112" s="15" t="n"/>
      <c r="C112" s="20">
        <f>IF(B112="","",IFERROR(VLOOKUP(B112,'📦产品库'!$B$4:$D$9999,2,0),"⚠️未找到"))</f>
        <v/>
      </c>
      <c r="D112" s="21">
        <f>IF(B112="","",IFERROR(VLOOKUP(B112,'📦产品库'!$B$4:$E$9999,4,0),""))</f>
        <v/>
      </c>
      <c r="E112" s="21">
        <f>IF(B112="","",IFERROR(VLOOKUP(B112,'📦产品库'!$B$4:$F$9999,5,0),""))</f>
        <v/>
      </c>
      <c r="F112" s="22">
        <f>IF(B112="","",IFERROR(VLOOKUP(B112,'📦产品库'!$B$4:$G$9999,6,0),""))</f>
        <v/>
      </c>
      <c r="G112" s="16" t="n"/>
      <c r="H112" s="23">
        <f>IF(B112="","",1)</f>
        <v/>
      </c>
      <c r="I112" s="17">
        <f>IF(B112="","",IF(G112&lt;&gt;"",G112*H112,F112*H112))</f>
        <v/>
      </c>
      <c r="J112" s="24" t="n"/>
      <c r="K112" s="18">
        <f>IF(B112="","",IF(G112&gt;=2000,20,IF(G112&gt;=1000,10,0)))</f>
        <v/>
      </c>
      <c r="L112" s="27" t="n"/>
    </row>
    <row r="113" ht="18" customHeight="1">
      <c r="A113" s="19">
        <f>IF(B113="","",ROW()-4)</f>
        <v/>
      </c>
      <c r="B113" s="15" t="n"/>
      <c r="C113" s="20">
        <f>IF(B113="","",IFERROR(VLOOKUP(B113,'📦产品库'!$B$4:$D$9999,2,0),"⚠️未找到"))</f>
        <v/>
      </c>
      <c r="D113" s="21">
        <f>IF(B113="","",IFERROR(VLOOKUP(B113,'📦产品库'!$B$4:$E$9999,4,0),""))</f>
        <v/>
      </c>
      <c r="E113" s="21">
        <f>IF(B113="","",IFERROR(VLOOKUP(B113,'📦产品库'!$B$4:$F$9999,5,0),""))</f>
        <v/>
      </c>
      <c r="F113" s="22">
        <f>IF(B113="","",IFERROR(VLOOKUP(B113,'📦产品库'!$B$4:$G$9999,6,0),""))</f>
        <v/>
      </c>
      <c r="G113" s="16" t="n"/>
      <c r="H113" s="23">
        <f>IF(B113="","",1)</f>
        <v/>
      </c>
      <c r="I113" s="17">
        <f>IF(B113="","",IF(G113&lt;&gt;"",G113*H113,F113*H113))</f>
        <v/>
      </c>
      <c r="J113" s="24" t="n"/>
      <c r="K113" s="18">
        <f>IF(B113="","",IF(G113&gt;=2000,20,IF(G113&gt;=1000,10,0)))</f>
        <v/>
      </c>
      <c r="L113" s="25" t="n"/>
    </row>
    <row r="114" ht="18" customHeight="1">
      <c r="A114" s="26">
        <f>IF(B114="","",ROW()-4)</f>
        <v/>
      </c>
      <c r="B114" s="15" t="n"/>
      <c r="C114" s="20">
        <f>IF(B114="","",IFERROR(VLOOKUP(B114,'📦产品库'!$B$4:$D$9999,2,0),"⚠️未找到"))</f>
        <v/>
      </c>
      <c r="D114" s="21">
        <f>IF(B114="","",IFERROR(VLOOKUP(B114,'📦产品库'!$B$4:$E$9999,4,0),""))</f>
        <v/>
      </c>
      <c r="E114" s="21">
        <f>IF(B114="","",IFERROR(VLOOKUP(B114,'📦产品库'!$B$4:$F$9999,5,0),""))</f>
        <v/>
      </c>
      <c r="F114" s="22">
        <f>IF(B114="","",IFERROR(VLOOKUP(B114,'📦产品库'!$B$4:$G$9999,6,0),""))</f>
        <v/>
      </c>
      <c r="G114" s="16" t="n"/>
      <c r="H114" s="23">
        <f>IF(B114="","",1)</f>
        <v/>
      </c>
      <c r="I114" s="17">
        <f>IF(B114="","",IF(G114&lt;&gt;"",G114*H114,F114*H114))</f>
        <v/>
      </c>
      <c r="J114" s="24" t="n"/>
      <c r="K114" s="18">
        <f>IF(B114="","",IF(G114&gt;=2000,20,IF(G114&gt;=1000,10,0)))</f>
        <v/>
      </c>
      <c r="L114" s="27" t="n"/>
    </row>
    <row r="115" ht="18" customHeight="1">
      <c r="A115" s="19">
        <f>IF(B115="","",ROW()-4)</f>
        <v/>
      </c>
      <c r="B115" s="15" t="n"/>
      <c r="C115" s="20">
        <f>IF(B115="","",IFERROR(VLOOKUP(B115,'📦产品库'!$B$4:$D$9999,2,0),"⚠️未找到"))</f>
        <v/>
      </c>
      <c r="D115" s="21">
        <f>IF(B115="","",IFERROR(VLOOKUP(B115,'📦产品库'!$B$4:$E$9999,4,0),""))</f>
        <v/>
      </c>
      <c r="E115" s="21">
        <f>IF(B115="","",IFERROR(VLOOKUP(B115,'📦产品库'!$B$4:$F$9999,5,0),""))</f>
        <v/>
      </c>
      <c r="F115" s="22">
        <f>IF(B115="","",IFERROR(VLOOKUP(B115,'📦产品库'!$B$4:$G$9999,6,0),""))</f>
        <v/>
      </c>
      <c r="G115" s="16" t="n"/>
      <c r="H115" s="23">
        <f>IF(B115="","",1)</f>
        <v/>
      </c>
      <c r="I115" s="17">
        <f>IF(B115="","",IF(G115&lt;&gt;"",G115*H115,F115*H115))</f>
        <v/>
      </c>
      <c r="J115" s="24" t="n"/>
      <c r="K115" s="18">
        <f>IF(B115="","",IF(G115&gt;=2000,20,IF(G115&gt;=1000,10,0)))</f>
        <v/>
      </c>
      <c r="L115" s="25" t="n"/>
    </row>
    <row r="116" ht="18" customHeight="1">
      <c r="A116" s="26">
        <f>IF(B116="","",ROW()-4)</f>
        <v/>
      </c>
      <c r="B116" s="15" t="n"/>
      <c r="C116" s="20">
        <f>IF(B116="","",IFERROR(VLOOKUP(B116,'📦产品库'!$B$4:$D$9999,2,0),"⚠️未找到"))</f>
        <v/>
      </c>
      <c r="D116" s="21">
        <f>IF(B116="","",IFERROR(VLOOKUP(B116,'📦产品库'!$B$4:$E$9999,4,0),""))</f>
        <v/>
      </c>
      <c r="E116" s="21">
        <f>IF(B116="","",IFERROR(VLOOKUP(B116,'📦产品库'!$B$4:$F$9999,5,0),""))</f>
        <v/>
      </c>
      <c r="F116" s="22">
        <f>IF(B116="","",IFERROR(VLOOKUP(B116,'📦产品库'!$B$4:$G$9999,6,0),""))</f>
        <v/>
      </c>
      <c r="G116" s="16" t="n"/>
      <c r="H116" s="23">
        <f>IF(B116="","",1)</f>
        <v/>
      </c>
      <c r="I116" s="17">
        <f>IF(B116="","",IF(G116&lt;&gt;"",G116*H116,F116*H116))</f>
        <v/>
      </c>
      <c r="J116" s="24" t="n"/>
      <c r="K116" s="18">
        <f>IF(B116="","",IF(G116&gt;=2000,20,IF(G116&gt;=1000,10,0)))</f>
        <v/>
      </c>
      <c r="L116" s="27" t="n"/>
    </row>
    <row r="117" ht="18" customHeight="1">
      <c r="A117" s="19">
        <f>IF(B117="","",ROW()-4)</f>
        <v/>
      </c>
      <c r="B117" s="15" t="n"/>
      <c r="C117" s="20">
        <f>IF(B117="","",IFERROR(VLOOKUP(B117,'📦产品库'!$B$4:$D$9999,2,0),"⚠️未找到"))</f>
        <v/>
      </c>
      <c r="D117" s="21">
        <f>IF(B117="","",IFERROR(VLOOKUP(B117,'📦产品库'!$B$4:$E$9999,4,0),""))</f>
        <v/>
      </c>
      <c r="E117" s="21">
        <f>IF(B117="","",IFERROR(VLOOKUP(B117,'📦产品库'!$B$4:$F$9999,5,0),""))</f>
        <v/>
      </c>
      <c r="F117" s="22">
        <f>IF(B117="","",IFERROR(VLOOKUP(B117,'📦产品库'!$B$4:$G$9999,6,0),""))</f>
        <v/>
      </c>
      <c r="G117" s="16" t="n"/>
      <c r="H117" s="23">
        <f>IF(B117="","",1)</f>
        <v/>
      </c>
      <c r="I117" s="17">
        <f>IF(B117="","",IF(G117&lt;&gt;"",G117*H117,F117*H117))</f>
        <v/>
      </c>
      <c r="J117" s="24" t="n"/>
      <c r="K117" s="18">
        <f>IF(B117="","",IF(G117&gt;=2000,20,IF(G117&gt;=1000,10,0)))</f>
        <v/>
      </c>
      <c r="L117" s="25" t="n"/>
    </row>
    <row r="118" ht="18" customHeight="1">
      <c r="A118" s="26">
        <f>IF(B118="","",ROW()-4)</f>
        <v/>
      </c>
      <c r="B118" s="15" t="n"/>
      <c r="C118" s="20">
        <f>IF(B118="","",IFERROR(VLOOKUP(B118,'📦产品库'!$B$4:$D$9999,2,0),"⚠️未找到"))</f>
        <v/>
      </c>
      <c r="D118" s="21">
        <f>IF(B118="","",IFERROR(VLOOKUP(B118,'📦产品库'!$B$4:$E$9999,4,0),""))</f>
        <v/>
      </c>
      <c r="E118" s="21">
        <f>IF(B118="","",IFERROR(VLOOKUP(B118,'📦产品库'!$B$4:$F$9999,5,0),""))</f>
        <v/>
      </c>
      <c r="F118" s="22">
        <f>IF(B118="","",IFERROR(VLOOKUP(B118,'📦产品库'!$B$4:$G$9999,6,0),""))</f>
        <v/>
      </c>
      <c r="G118" s="16" t="n"/>
      <c r="H118" s="23">
        <f>IF(B118="","",1)</f>
        <v/>
      </c>
      <c r="I118" s="17">
        <f>IF(B118="","",IF(G118&lt;&gt;"",G118*H118,F118*H118))</f>
        <v/>
      </c>
      <c r="J118" s="24" t="n"/>
      <c r="K118" s="18">
        <f>IF(B118="","",IF(G118&gt;=2000,20,IF(G118&gt;=1000,10,0)))</f>
        <v/>
      </c>
      <c r="L118" s="27" t="n"/>
    </row>
    <row r="119" ht="18" customHeight="1">
      <c r="A119" s="19">
        <f>IF(B119="","",ROW()-4)</f>
        <v/>
      </c>
      <c r="B119" s="15" t="n"/>
      <c r="C119" s="20">
        <f>IF(B119="","",IFERROR(VLOOKUP(B119,'📦产品库'!$B$4:$D$9999,2,0),"⚠️未找到"))</f>
        <v/>
      </c>
      <c r="D119" s="21">
        <f>IF(B119="","",IFERROR(VLOOKUP(B119,'📦产品库'!$B$4:$E$9999,4,0),""))</f>
        <v/>
      </c>
      <c r="E119" s="21">
        <f>IF(B119="","",IFERROR(VLOOKUP(B119,'📦产品库'!$B$4:$F$9999,5,0),""))</f>
        <v/>
      </c>
      <c r="F119" s="22">
        <f>IF(B119="","",IFERROR(VLOOKUP(B119,'📦产品库'!$B$4:$G$9999,6,0),""))</f>
        <v/>
      </c>
      <c r="G119" s="16" t="n"/>
      <c r="H119" s="23">
        <f>IF(B119="","",1)</f>
        <v/>
      </c>
      <c r="I119" s="17">
        <f>IF(B119="","",IF(G119&lt;&gt;"",G119*H119,F119*H119))</f>
        <v/>
      </c>
      <c r="J119" s="24" t="n"/>
      <c r="K119" s="18">
        <f>IF(B119="","",IF(G119&gt;=2000,20,IF(G119&gt;=1000,10,0)))</f>
        <v/>
      </c>
      <c r="L119" s="25" t="n"/>
    </row>
    <row r="120" ht="18" customHeight="1">
      <c r="A120" s="26">
        <f>IF(B120="","",ROW()-4)</f>
        <v/>
      </c>
      <c r="B120" s="15" t="n"/>
      <c r="C120" s="20">
        <f>IF(B120="","",IFERROR(VLOOKUP(B120,'📦产品库'!$B$4:$D$9999,2,0),"⚠️未找到"))</f>
        <v/>
      </c>
      <c r="D120" s="21">
        <f>IF(B120="","",IFERROR(VLOOKUP(B120,'📦产品库'!$B$4:$E$9999,4,0),""))</f>
        <v/>
      </c>
      <c r="E120" s="21">
        <f>IF(B120="","",IFERROR(VLOOKUP(B120,'📦产品库'!$B$4:$F$9999,5,0),""))</f>
        <v/>
      </c>
      <c r="F120" s="22">
        <f>IF(B120="","",IFERROR(VLOOKUP(B120,'📦产品库'!$B$4:$G$9999,6,0),""))</f>
        <v/>
      </c>
      <c r="G120" s="16" t="n"/>
      <c r="H120" s="23">
        <f>IF(B120="","",1)</f>
        <v/>
      </c>
      <c r="I120" s="17">
        <f>IF(B120="","",IF(G120&lt;&gt;"",G120*H120,F120*H120))</f>
        <v/>
      </c>
      <c r="J120" s="24" t="n"/>
      <c r="K120" s="18">
        <f>IF(B120="","",IF(G120&gt;=2000,20,IF(G120&gt;=1000,10,0)))</f>
        <v/>
      </c>
      <c r="L120" s="27" t="n"/>
    </row>
    <row r="121" ht="18" customHeight="1">
      <c r="A121" s="19">
        <f>IF(B121="","",ROW()-4)</f>
        <v/>
      </c>
      <c r="B121" s="15" t="n"/>
      <c r="C121" s="20">
        <f>IF(B121="","",IFERROR(VLOOKUP(B121,'📦产品库'!$B$4:$D$9999,2,0),"⚠️未找到"))</f>
        <v/>
      </c>
      <c r="D121" s="21">
        <f>IF(B121="","",IFERROR(VLOOKUP(B121,'📦产品库'!$B$4:$E$9999,4,0),""))</f>
        <v/>
      </c>
      <c r="E121" s="21">
        <f>IF(B121="","",IFERROR(VLOOKUP(B121,'📦产品库'!$B$4:$F$9999,5,0),""))</f>
        <v/>
      </c>
      <c r="F121" s="22">
        <f>IF(B121="","",IFERROR(VLOOKUP(B121,'📦产品库'!$B$4:$G$9999,6,0),""))</f>
        <v/>
      </c>
      <c r="G121" s="16" t="n"/>
      <c r="H121" s="23">
        <f>IF(B121="","",1)</f>
        <v/>
      </c>
      <c r="I121" s="17">
        <f>IF(B121="","",IF(G121&lt;&gt;"",G121*H121,F121*H121))</f>
        <v/>
      </c>
      <c r="J121" s="24" t="n"/>
      <c r="K121" s="18">
        <f>IF(B121="","",IF(G121&gt;=2000,20,IF(G121&gt;=1000,10,0)))</f>
        <v/>
      </c>
      <c r="L121" s="25" t="n"/>
    </row>
    <row r="122" ht="18" customHeight="1">
      <c r="A122" s="26">
        <f>IF(B122="","",ROW()-4)</f>
        <v/>
      </c>
      <c r="B122" s="15" t="n"/>
      <c r="C122" s="20">
        <f>IF(B122="","",IFERROR(VLOOKUP(B122,'📦产品库'!$B$4:$D$9999,2,0),"⚠️未找到"))</f>
        <v/>
      </c>
      <c r="D122" s="21">
        <f>IF(B122="","",IFERROR(VLOOKUP(B122,'📦产品库'!$B$4:$E$9999,4,0),""))</f>
        <v/>
      </c>
      <c r="E122" s="21">
        <f>IF(B122="","",IFERROR(VLOOKUP(B122,'📦产品库'!$B$4:$F$9999,5,0),""))</f>
        <v/>
      </c>
      <c r="F122" s="22">
        <f>IF(B122="","",IFERROR(VLOOKUP(B122,'📦产品库'!$B$4:$G$9999,6,0),""))</f>
        <v/>
      </c>
      <c r="G122" s="16" t="n"/>
      <c r="H122" s="23">
        <f>IF(B122="","",1)</f>
        <v/>
      </c>
      <c r="I122" s="17">
        <f>IF(B122="","",IF(G122&lt;&gt;"",G122*H122,F122*H122))</f>
        <v/>
      </c>
      <c r="J122" s="24" t="n"/>
      <c r="K122" s="18">
        <f>IF(B122="","",IF(G122&gt;=2000,20,IF(G122&gt;=1000,10,0)))</f>
        <v/>
      </c>
      <c r="L122" s="27" t="n"/>
    </row>
    <row r="123" ht="18" customHeight="1">
      <c r="A123" s="19">
        <f>IF(B123="","",ROW()-4)</f>
        <v/>
      </c>
      <c r="B123" s="15" t="n"/>
      <c r="C123" s="20">
        <f>IF(B123="","",IFERROR(VLOOKUP(B123,'📦产品库'!$B$4:$D$9999,2,0),"⚠️未找到"))</f>
        <v/>
      </c>
      <c r="D123" s="21">
        <f>IF(B123="","",IFERROR(VLOOKUP(B123,'📦产品库'!$B$4:$E$9999,4,0),""))</f>
        <v/>
      </c>
      <c r="E123" s="21">
        <f>IF(B123="","",IFERROR(VLOOKUP(B123,'📦产品库'!$B$4:$F$9999,5,0),""))</f>
        <v/>
      </c>
      <c r="F123" s="22">
        <f>IF(B123="","",IFERROR(VLOOKUP(B123,'📦产品库'!$B$4:$G$9999,6,0),""))</f>
        <v/>
      </c>
      <c r="G123" s="16" t="n"/>
      <c r="H123" s="23">
        <f>IF(B123="","",1)</f>
        <v/>
      </c>
      <c r="I123" s="17">
        <f>IF(B123="","",IF(G123&lt;&gt;"",G123*H123,F123*H123))</f>
        <v/>
      </c>
      <c r="J123" s="24" t="n"/>
      <c r="K123" s="18">
        <f>IF(B123="","",IF(G123&gt;=2000,20,IF(G123&gt;=1000,10,0)))</f>
        <v/>
      </c>
      <c r="L123" s="25" t="n"/>
    </row>
    <row r="124" ht="18" customHeight="1">
      <c r="A124" s="26">
        <f>IF(B124="","",ROW()-4)</f>
        <v/>
      </c>
      <c r="B124" s="15" t="n"/>
      <c r="C124" s="20">
        <f>IF(B124="","",IFERROR(VLOOKUP(B124,'📦产品库'!$B$4:$D$9999,2,0),"⚠️未找到"))</f>
        <v/>
      </c>
      <c r="D124" s="21">
        <f>IF(B124="","",IFERROR(VLOOKUP(B124,'📦产品库'!$B$4:$E$9999,4,0),""))</f>
        <v/>
      </c>
      <c r="E124" s="21">
        <f>IF(B124="","",IFERROR(VLOOKUP(B124,'📦产品库'!$B$4:$F$9999,5,0),""))</f>
        <v/>
      </c>
      <c r="F124" s="22">
        <f>IF(B124="","",IFERROR(VLOOKUP(B124,'📦产品库'!$B$4:$G$9999,6,0),""))</f>
        <v/>
      </c>
      <c r="G124" s="16" t="n"/>
      <c r="H124" s="23">
        <f>IF(B124="","",1)</f>
        <v/>
      </c>
      <c r="I124" s="17">
        <f>IF(B124="","",IF(G124&lt;&gt;"",G124*H124,F124*H124))</f>
        <v/>
      </c>
      <c r="J124" s="24" t="n"/>
      <c r="K124" s="18">
        <f>IF(B124="","",IF(G124&gt;=2000,20,IF(G124&gt;=1000,10,0)))</f>
        <v/>
      </c>
      <c r="L124" s="27" t="n"/>
    </row>
    <row r="125" ht="18" customHeight="1">
      <c r="A125" s="19">
        <f>IF(B125="","",ROW()-4)</f>
        <v/>
      </c>
      <c r="B125" s="15" t="n"/>
      <c r="C125" s="20">
        <f>IF(B125="","",IFERROR(VLOOKUP(B125,'📦产品库'!$B$4:$D$9999,2,0),"⚠️未找到"))</f>
        <v/>
      </c>
      <c r="D125" s="21">
        <f>IF(B125="","",IFERROR(VLOOKUP(B125,'📦产品库'!$B$4:$E$9999,4,0),""))</f>
        <v/>
      </c>
      <c r="E125" s="21">
        <f>IF(B125="","",IFERROR(VLOOKUP(B125,'📦产品库'!$B$4:$F$9999,5,0),""))</f>
        <v/>
      </c>
      <c r="F125" s="22">
        <f>IF(B125="","",IFERROR(VLOOKUP(B125,'📦产品库'!$B$4:$G$9999,6,0),""))</f>
        <v/>
      </c>
      <c r="G125" s="16" t="n"/>
      <c r="H125" s="23">
        <f>IF(B125="","",1)</f>
        <v/>
      </c>
      <c r="I125" s="17">
        <f>IF(B125="","",IF(G125&lt;&gt;"",G125*H125,F125*H125))</f>
        <v/>
      </c>
      <c r="J125" s="24" t="n"/>
      <c r="K125" s="18">
        <f>IF(B125="","",IF(G125&gt;=2000,20,IF(G125&gt;=1000,10,0)))</f>
        <v/>
      </c>
      <c r="L125" s="25" t="n"/>
    </row>
    <row r="126" ht="18" customHeight="1">
      <c r="A126" s="26">
        <f>IF(B126="","",ROW()-4)</f>
        <v/>
      </c>
      <c r="B126" s="15" t="n"/>
      <c r="C126" s="20">
        <f>IF(B126="","",IFERROR(VLOOKUP(B126,'📦产品库'!$B$4:$D$9999,2,0),"⚠️未找到"))</f>
        <v/>
      </c>
      <c r="D126" s="21">
        <f>IF(B126="","",IFERROR(VLOOKUP(B126,'📦产品库'!$B$4:$E$9999,4,0),""))</f>
        <v/>
      </c>
      <c r="E126" s="21">
        <f>IF(B126="","",IFERROR(VLOOKUP(B126,'📦产品库'!$B$4:$F$9999,5,0),""))</f>
        <v/>
      </c>
      <c r="F126" s="22">
        <f>IF(B126="","",IFERROR(VLOOKUP(B126,'📦产品库'!$B$4:$G$9999,6,0),""))</f>
        <v/>
      </c>
      <c r="G126" s="16" t="n"/>
      <c r="H126" s="23">
        <f>IF(B126="","",1)</f>
        <v/>
      </c>
      <c r="I126" s="17">
        <f>IF(B126="","",IF(G126&lt;&gt;"",G126*H126,F126*H126))</f>
        <v/>
      </c>
      <c r="J126" s="24" t="n"/>
      <c r="K126" s="18">
        <f>IF(B126="","",IF(G126&gt;=2000,20,IF(G126&gt;=1000,10,0)))</f>
        <v/>
      </c>
      <c r="L126" s="27" t="n"/>
    </row>
    <row r="127" ht="18" customHeight="1">
      <c r="A127" s="19">
        <f>IF(B127="","",ROW()-4)</f>
        <v/>
      </c>
      <c r="B127" s="15" t="n"/>
      <c r="C127" s="20">
        <f>IF(B127="","",IFERROR(VLOOKUP(B127,'📦产品库'!$B$4:$D$9999,2,0),"⚠️未找到"))</f>
        <v/>
      </c>
      <c r="D127" s="21">
        <f>IF(B127="","",IFERROR(VLOOKUP(B127,'📦产品库'!$B$4:$E$9999,4,0),""))</f>
        <v/>
      </c>
      <c r="E127" s="21">
        <f>IF(B127="","",IFERROR(VLOOKUP(B127,'📦产品库'!$B$4:$F$9999,5,0),""))</f>
        <v/>
      </c>
      <c r="F127" s="22">
        <f>IF(B127="","",IFERROR(VLOOKUP(B127,'📦产品库'!$B$4:$G$9999,6,0),""))</f>
        <v/>
      </c>
      <c r="G127" s="16" t="n"/>
      <c r="H127" s="23">
        <f>IF(B127="","",1)</f>
        <v/>
      </c>
      <c r="I127" s="17">
        <f>IF(B127="","",IF(G127&lt;&gt;"",G127*H127,F127*H127))</f>
        <v/>
      </c>
      <c r="J127" s="24" t="n"/>
      <c r="K127" s="18">
        <f>IF(B127="","",IF(G127&gt;=2000,20,IF(G127&gt;=1000,10,0)))</f>
        <v/>
      </c>
      <c r="L127" s="25" t="n"/>
    </row>
    <row r="128" ht="18" customHeight="1">
      <c r="A128" s="26">
        <f>IF(B128="","",ROW()-4)</f>
        <v/>
      </c>
      <c r="B128" s="15" t="n"/>
      <c r="C128" s="20">
        <f>IF(B128="","",IFERROR(VLOOKUP(B128,'📦产品库'!$B$4:$D$9999,2,0),"⚠️未找到"))</f>
        <v/>
      </c>
      <c r="D128" s="21">
        <f>IF(B128="","",IFERROR(VLOOKUP(B128,'📦产品库'!$B$4:$E$9999,4,0),""))</f>
        <v/>
      </c>
      <c r="E128" s="21">
        <f>IF(B128="","",IFERROR(VLOOKUP(B128,'📦产品库'!$B$4:$F$9999,5,0),""))</f>
        <v/>
      </c>
      <c r="F128" s="22">
        <f>IF(B128="","",IFERROR(VLOOKUP(B128,'📦产品库'!$B$4:$G$9999,6,0),""))</f>
        <v/>
      </c>
      <c r="G128" s="16" t="n"/>
      <c r="H128" s="23">
        <f>IF(B128="","",1)</f>
        <v/>
      </c>
      <c r="I128" s="17">
        <f>IF(B128="","",IF(G128&lt;&gt;"",G128*H128,F128*H128))</f>
        <v/>
      </c>
      <c r="J128" s="24" t="n"/>
      <c r="K128" s="18">
        <f>IF(B128="","",IF(G128&gt;=2000,20,IF(G128&gt;=1000,10,0)))</f>
        <v/>
      </c>
      <c r="L128" s="27" t="n"/>
    </row>
    <row r="129" ht="18" customHeight="1">
      <c r="A129" s="19">
        <f>IF(B129="","",ROW()-4)</f>
        <v/>
      </c>
      <c r="B129" s="15" t="n"/>
      <c r="C129" s="20">
        <f>IF(B129="","",IFERROR(VLOOKUP(B129,'📦产品库'!$B$4:$D$9999,2,0),"⚠️未找到"))</f>
        <v/>
      </c>
      <c r="D129" s="21">
        <f>IF(B129="","",IFERROR(VLOOKUP(B129,'📦产品库'!$B$4:$E$9999,4,0),""))</f>
        <v/>
      </c>
      <c r="E129" s="21">
        <f>IF(B129="","",IFERROR(VLOOKUP(B129,'📦产品库'!$B$4:$F$9999,5,0),""))</f>
        <v/>
      </c>
      <c r="F129" s="22">
        <f>IF(B129="","",IFERROR(VLOOKUP(B129,'📦产品库'!$B$4:$G$9999,6,0),""))</f>
        <v/>
      </c>
      <c r="G129" s="16" t="n"/>
      <c r="H129" s="23">
        <f>IF(B129="","",1)</f>
        <v/>
      </c>
      <c r="I129" s="17">
        <f>IF(B129="","",IF(G129&lt;&gt;"",G129*H129,F129*H129))</f>
        <v/>
      </c>
      <c r="J129" s="24" t="n"/>
      <c r="K129" s="18">
        <f>IF(B129="","",IF(G129&gt;=2000,20,IF(G129&gt;=1000,10,0)))</f>
        <v/>
      </c>
      <c r="L129" s="25" t="n"/>
    </row>
    <row r="130" ht="18" customHeight="1">
      <c r="A130" s="26">
        <f>IF(B130="","",ROW()-4)</f>
        <v/>
      </c>
      <c r="B130" s="15" t="n"/>
      <c r="C130" s="20">
        <f>IF(B130="","",IFERROR(VLOOKUP(B130,'📦产品库'!$B$4:$D$9999,2,0),"⚠️未找到"))</f>
        <v/>
      </c>
      <c r="D130" s="21">
        <f>IF(B130="","",IFERROR(VLOOKUP(B130,'📦产品库'!$B$4:$E$9999,4,0),""))</f>
        <v/>
      </c>
      <c r="E130" s="21">
        <f>IF(B130="","",IFERROR(VLOOKUP(B130,'📦产品库'!$B$4:$F$9999,5,0),""))</f>
        <v/>
      </c>
      <c r="F130" s="22">
        <f>IF(B130="","",IFERROR(VLOOKUP(B130,'📦产品库'!$B$4:$G$9999,6,0),""))</f>
        <v/>
      </c>
      <c r="G130" s="16" t="n"/>
      <c r="H130" s="23">
        <f>IF(B130="","",1)</f>
        <v/>
      </c>
      <c r="I130" s="17">
        <f>IF(B130="","",IF(G130&lt;&gt;"",G130*H130,F130*H130))</f>
        <v/>
      </c>
      <c r="J130" s="24" t="n"/>
      <c r="K130" s="18">
        <f>IF(B130="","",IF(G130&gt;=2000,20,IF(G130&gt;=1000,10,0)))</f>
        <v/>
      </c>
      <c r="L130" s="27" t="n"/>
    </row>
    <row r="131" ht="18" customHeight="1">
      <c r="A131" s="19">
        <f>IF(B131="","",ROW()-4)</f>
        <v/>
      </c>
      <c r="B131" s="15" t="n"/>
      <c r="C131" s="20">
        <f>IF(B131="","",IFERROR(VLOOKUP(B131,'📦产品库'!$B$4:$D$9999,2,0),"⚠️未找到"))</f>
        <v/>
      </c>
      <c r="D131" s="21">
        <f>IF(B131="","",IFERROR(VLOOKUP(B131,'📦产品库'!$B$4:$E$9999,4,0),""))</f>
        <v/>
      </c>
      <c r="E131" s="21">
        <f>IF(B131="","",IFERROR(VLOOKUP(B131,'📦产品库'!$B$4:$F$9999,5,0),""))</f>
        <v/>
      </c>
      <c r="F131" s="22">
        <f>IF(B131="","",IFERROR(VLOOKUP(B131,'📦产品库'!$B$4:$G$9999,6,0),""))</f>
        <v/>
      </c>
      <c r="G131" s="16" t="n"/>
      <c r="H131" s="23">
        <f>IF(B131="","",1)</f>
        <v/>
      </c>
      <c r="I131" s="17">
        <f>IF(B131="","",IF(G131&lt;&gt;"",G131*H131,F131*H131))</f>
        <v/>
      </c>
      <c r="J131" s="24" t="n"/>
      <c r="K131" s="18">
        <f>IF(B131="","",IF(G131&gt;=2000,20,IF(G131&gt;=1000,10,0)))</f>
        <v/>
      </c>
      <c r="L131" s="25" t="n"/>
    </row>
    <row r="132" ht="18" customHeight="1">
      <c r="A132" s="26">
        <f>IF(B132="","",ROW()-4)</f>
        <v/>
      </c>
      <c r="B132" s="15" t="n"/>
      <c r="C132" s="20">
        <f>IF(B132="","",IFERROR(VLOOKUP(B132,'📦产品库'!$B$4:$D$9999,2,0),"⚠️未找到"))</f>
        <v/>
      </c>
      <c r="D132" s="21">
        <f>IF(B132="","",IFERROR(VLOOKUP(B132,'📦产品库'!$B$4:$E$9999,4,0),""))</f>
        <v/>
      </c>
      <c r="E132" s="21">
        <f>IF(B132="","",IFERROR(VLOOKUP(B132,'📦产品库'!$B$4:$F$9999,5,0),""))</f>
        <v/>
      </c>
      <c r="F132" s="22">
        <f>IF(B132="","",IFERROR(VLOOKUP(B132,'📦产品库'!$B$4:$G$9999,6,0),""))</f>
        <v/>
      </c>
      <c r="G132" s="16" t="n"/>
      <c r="H132" s="23">
        <f>IF(B132="","",1)</f>
        <v/>
      </c>
      <c r="I132" s="17">
        <f>IF(B132="","",IF(G132&lt;&gt;"",G132*H132,F132*H132))</f>
        <v/>
      </c>
      <c r="J132" s="24" t="n"/>
      <c r="K132" s="18">
        <f>IF(B132="","",IF(G132&gt;=2000,20,IF(G132&gt;=1000,10,0)))</f>
        <v/>
      </c>
      <c r="L132" s="27" t="n"/>
    </row>
    <row r="133" ht="18" customHeight="1">
      <c r="A133" s="19">
        <f>IF(B133="","",ROW()-4)</f>
        <v/>
      </c>
      <c r="B133" s="15" t="n"/>
      <c r="C133" s="20">
        <f>IF(B133="","",IFERROR(VLOOKUP(B133,'📦产品库'!$B$4:$D$9999,2,0),"⚠️未找到"))</f>
        <v/>
      </c>
      <c r="D133" s="21">
        <f>IF(B133="","",IFERROR(VLOOKUP(B133,'📦产品库'!$B$4:$E$9999,4,0),""))</f>
        <v/>
      </c>
      <c r="E133" s="21">
        <f>IF(B133="","",IFERROR(VLOOKUP(B133,'📦产品库'!$B$4:$F$9999,5,0),""))</f>
        <v/>
      </c>
      <c r="F133" s="22">
        <f>IF(B133="","",IFERROR(VLOOKUP(B133,'📦产品库'!$B$4:$G$9999,6,0),""))</f>
        <v/>
      </c>
      <c r="G133" s="16" t="n"/>
      <c r="H133" s="23">
        <f>IF(B133="","",1)</f>
        <v/>
      </c>
      <c r="I133" s="17">
        <f>IF(B133="","",IF(G133&lt;&gt;"",G133*H133,F133*H133))</f>
        <v/>
      </c>
      <c r="J133" s="24" t="n"/>
      <c r="K133" s="18">
        <f>IF(B133="","",IF(G133&gt;=2000,20,IF(G133&gt;=1000,10,0)))</f>
        <v/>
      </c>
      <c r="L133" s="25" t="n"/>
    </row>
    <row r="134" ht="18" customHeight="1">
      <c r="A134" s="26">
        <f>IF(B134="","",ROW()-4)</f>
        <v/>
      </c>
      <c r="B134" s="15" t="n"/>
      <c r="C134" s="20">
        <f>IF(B134="","",IFERROR(VLOOKUP(B134,'📦产品库'!$B$4:$D$9999,2,0),"⚠️未找到"))</f>
        <v/>
      </c>
      <c r="D134" s="21">
        <f>IF(B134="","",IFERROR(VLOOKUP(B134,'📦产品库'!$B$4:$E$9999,4,0),""))</f>
        <v/>
      </c>
      <c r="E134" s="21">
        <f>IF(B134="","",IFERROR(VLOOKUP(B134,'📦产品库'!$B$4:$F$9999,5,0),""))</f>
        <v/>
      </c>
      <c r="F134" s="22">
        <f>IF(B134="","",IFERROR(VLOOKUP(B134,'📦产品库'!$B$4:$G$9999,6,0),""))</f>
        <v/>
      </c>
      <c r="G134" s="16" t="n"/>
      <c r="H134" s="23">
        <f>IF(B134="","",1)</f>
        <v/>
      </c>
      <c r="I134" s="17">
        <f>IF(B134="","",IF(G134&lt;&gt;"",G134*H134,F134*H134))</f>
        <v/>
      </c>
      <c r="J134" s="24" t="n"/>
      <c r="K134" s="18">
        <f>IF(B134="","",IF(G134&gt;=2000,20,IF(G134&gt;=1000,10,0)))</f>
        <v/>
      </c>
      <c r="L134" s="27" t="n"/>
    </row>
    <row r="135" ht="18" customHeight="1">
      <c r="A135" s="19">
        <f>IF(B135="","",ROW()-4)</f>
        <v/>
      </c>
      <c r="B135" s="15" t="n"/>
      <c r="C135" s="20">
        <f>IF(B135="","",IFERROR(VLOOKUP(B135,'📦产品库'!$B$4:$D$9999,2,0),"⚠️未找到"))</f>
        <v/>
      </c>
      <c r="D135" s="21">
        <f>IF(B135="","",IFERROR(VLOOKUP(B135,'📦产品库'!$B$4:$E$9999,4,0),""))</f>
        <v/>
      </c>
      <c r="E135" s="21">
        <f>IF(B135="","",IFERROR(VLOOKUP(B135,'📦产品库'!$B$4:$F$9999,5,0),""))</f>
        <v/>
      </c>
      <c r="F135" s="22">
        <f>IF(B135="","",IFERROR(VLOOKUP(B135,'📦产品库'!$B$4:$G$9999,6,0),""))</f>
        <v/>
      </c>
      <c r="G135" s="16" t="n"/>
      <c r="H135" s="23">
        <f>IF(B135="","",1)</f>
        <v/>
      </c>
      <c r="I135" s="17">
        <f>IF(B135="","",IF(G135&lt;&gt;"",G135*H135,F135*H135))</f>
        <v/>
      </c>
      <c r="J135" s="24" t="n"/>
      <c r="K135" s="18">
        <f>IF(B135="","",IF(G135&gt;=2000,20,IF(G135&gt;=1000,10,0)))</f>
        <v/>
      </c>
      <c r="L135" s="25" t="n"/>
    </row>
    <row r="136" ht="18" customHeight="1">
      <c r="A136" s="26">
        <f>IF(B136="","",ROW()-4)</f>
        <v/>
      </c>
      <c r="B136" s="15" t="n"/>
      <c r="C136" s="20">
        <f>IF(B136="","",IFERROR(VLOOKUP(B136,'📦产品库'!$B$4:$D$9999,2,0),"⚠️未找到"))</f>
        <v/>
      </c>
      <c r="D136" s="21">
        <f>IF(B136="","",IFERROR(VLOOKUP(B136,'📦产品库'!$B$4:$E$9999,4,0),""))</f>
        <v/>
      </c>
      <c r="E136" s="21">
        <f>IF(B136="","",IFERROR(VLOOKUP(B136,'📦产品库'!$B$4:$F$9999,5,0),""))</f>
        <v/>
      </c>
      <c r="F136" s="22">
        <f>IF(B136="","",IFERROR(VLOOKUP(B136,'📦产品库'!$B$4:$G$9999,6,0),""))</f>
        <v/>
      </c>
      <c r="G136" s="16" t="n"/>
      <c r="H136" s="23">
        <f>IF(B136="","",1)</f>
        <v/>
      </c>
      <c r="I136" s="17">
        <f>IF(B136="","",IF(G136&lt;&gt;"",G136*H136,F136*H136))</f>
        <v/>
      </c>
      <c r="J136" s="24" t="n"/>
      <c r="K136" s="18">
        <f>IF(B136="","",IF(G136&gt;=2000,20,IF(G136&gt;=1000,10,0)))</f>
        <v/>
      </c>
      <c r="L136" s="27" t="n"/>
    </row>
    <row r="137" ht="18" customHeight="1">
      <c r="A137" s="19">
        <f>IF(B137="","",ROW()-4)</f>
        <v/>
      </c>
      <c r="B137" s="15" t="n"/>
      <c r="C137" s="20">
        <f>IF(B137="","",IFERROR(VLOOKUP(B137,'📦产品库'!$B$4:$D$9999,2,0),"⚠️未找到"))</f>
        <v/>
      </c>
      <c r="D137" s="21">
        <f>IF(B137="","",IFERROR(VLOOKUP(B137,'📦产品库'!$B$4:$E$9999,4,0),""))</f>
        <v/>
      </c>
      <c r="E137" s="21">
        <f>IF(B137="","",IFERROR(VLOOKUP(B137,'📦产品库'!$B$4:$F$9999,5,0),""))</f>
        <v/>
      </c>
      <c r="F137" s="22">
        <f>IF(B137="","",IFERROR(VLOOKUP(B137,'📦产品库'!$B$4:$G$9999,6,0),""))</f>
        <v/>
      </c>
      <c r="G137" s="16" t="n"/>
      <c r="H137" s="23">
        <f>IF(B137="","",1)</f>
        <v/>
      </c>
      <c r="I137" s="17">
        <f>IF(B137="","",IF(G137&lt;&gt;"",G137*H137,F137*H137))</f>
        <v/>
      </c>
      <c r="J137" s="24" t="n"/>
      <c r="K137" s="18">
        <f>IF(B137="","",IF(G137&gt;=2000,20,IF(G137&gt;=1000,10,0)))</f>
        <v/>
      </c>
      <c r="L137" s="25" t="n"/>
    </row>
    <row r="138" ht="18" customHeight="1">
      <c r="A138" s="26">
        <f>IF(B138="","",ROW()-4)</f>
        <v/>
      </c>
      <c r="B138" s="15" t="n"/>
      <c r="C138" s="20">
        <f>IF(B138="","",IFERROR(VLOOKUP(B138,'📦产品库'!$B$4:$D$9999,2,0),"⚠️未找到"))</f>
        <v/>
      </c>
      <c r="D138" s="21">
        <f>IF(B138="","",IFERROR(VLOOKUP(B138,'📦产品库'!$B$4:$E$9999,4,0),""))</f>
        <v/>
      </c>
      <c r="E138" s="21">
        <f>IF(B138="","",IFERROR(VLOOKUP(B138,'📦产品库'!$B$4:$F$9999,5,0),""))</f>
        <v/>
      </c>
      <c r="F138" s="22">
        <f>IF(B138="","",IFERROR(VLOOKUP(B138,'📦产品库'!$B$4:$G$9999,6,0),""))</f>
        <v/>
      </c>
      <c r="G138" s="16" t="n"/>
      <c r="H138" s="23">
        <f>IF(B138="","",1)</f>
        <v/>
      </c>
      <c r="I138" s="17">
        <f>IF(B138="","",IF(G138&lt;&gt;"",G138*H138,F138*H138))</f>
        <v/>
      </c>
      <c r="J138" s="24" t="n"/>
      <c r="K138" s="18">
        <f>IF(B138="","",IF(G138&gt;=2000,20,IF(G138&gt;=1000,10,0)))</f>
        <v/>
      </c>
      <c r="L138" s="27" t="n"/>
    </row>
    <row r="139" ht="18" customHeight="1">
      <c r="A139" s="19">
        <f>IF(B139="","",ROW()-4)</f>
        <v/>
      </c>
      <c r="B139" s="15" t="n"/>
      <c r="C139" s="20">
        <f>IF(B139="","",IFERROR(VLOOKUP(B139,'📦产品库'!$B$4:$D$9999,2,0),"⚠️未找到"))</f>
        <v/>
      </c>
      <c r="D139" s="21">
        <f>IF(B139="","",IFERROR(VLOOKUP(B139,'📦产品库'!$B$4:$E$9999,4,0),""))</f>
        <v/>
      </c>
      <c r="E139" s="21">
        <f>IF(B139="","",IFERROR(VLOOKUP(B139,'📦产品库'!$B$4:$F$9999,5,0),""))</f>
        <v/>
      </c>
      <c r="F139" s="22">
        <f>IF(B139="","",IFERROR(VLOOKUP(B139,'📦产品库'!$B$4:$G$9999,6,0),""))</f>
        <v/>
      </c>
      <c r="G139" s="16" t="n"/>
      <c r="H139" s="23">
        <f>IF(B139="","",1)</f>
        <v/>
      </c>
      <c r="I139" s="17">
        <f>IF(B139="","",IF(G139&lt;&gt;"",G139*H139,F139*H139))</f>
        <v/>
      </c>
      <c r="J139" s="24" t="n"/>
      <c r="K139" s="18">
        <f>IF(B139="","",IF(G139&gt;=2000,20,IF(G139&gt;=1000,10,0)))</f>
        <v/>
      </c>
      <c r="L139" s="25" t="n"/>
    </row>
    <row r="140" ht="18" customHeight="1">
      <c r="A140" s="26">
        <f>IF(B140="","",ROW()-4)</f>
        <v/>
      </c>
      <c r="B140" s="15" t="n"/>
      <c r="C140" s="20">
        <f>IF(B140="","",IFERROR(VLOOKUP(B140,'📦产品库'!$B$4:$D$9999,2,0),"⚠️未找到"))</f>
        <v/>
      </c>
      <c r="D140" s="21">
        <f>IF(B140="","",IFERROR(VLOOKUP(B140,'📦产品库'!$B$4:$E$9999,4,0),""))</f>
        <v/>
      </c>
      <c r="E140" s="21">
        <f>IF(B140="","",IFERROR(VLOOKUP(B140,'📦产品库'!$B$4:$F$9999,5,0),""))</f>
        <v/>
      </c>
      <c r="F140" s="22">
        <f>IF(B140="","",IFERROR(VLOOKUP(B140,'📦产品库'!$B$4:$G$9999,6,0),""))</f>
        <v/>
      </c>
      <c r="G140" s="16" t="n"/>
      <c r="H140" s="23">
        <f>IF(B140="","",1)</f>
        <v/>
      </c>
      <c r="I140" s="17">
        <f>IF(B140="","",IF(G140&lt;&gt;"",G140*H140,F140*H140))</f>
        <v/>
      </c>
      <c r="J140" s="24" t="n"/>
      <c r="K140" s="18">
        <f>IF(B140="","",IF(G140&gt;=2000,20,IF(G140&gt;=1000,10,0)))</f>
        <v/>
      </c>
      <c r="L140" s="27" t="n"/>
    </row>
    <row r="141" ht="18" customHeight="1">
      <c r="A141" s="19">
        <f>IF(B141="","",ROW()-4)</f>
        <v/>
      </c>
      <c r="B141" s="15" t="n"/>
      <c r="C141" s="20">
        <f>IF(B141="","",IFERROR(VLOOKUP(B141,'📦产品库'!$B$4:$D$9999,2,0),"⚠️未找到"))</f>
        <v/>
      </c>
      <c r="D141" s="21">
        <f>IF(B141="","",IFERROR(VLOOKUP(B141,'📦产品库'!$B$4:$E$9999,4,0),""))</f>
        <v/>
      </c>
      <c r="E141" s="21">
        <f>IF(B141="","",IFERROR(VLOOKUP(B141,'📦产品库'!$B$4:$F$9999,5,0),""))</f>
        <v/>
      </c>
      <c r="F141" s="22">
        <f>IF(B141="","",IFERROR(VLOOKUP(B141,'📦产品库'!$B$4:$G$9999,6,0),""))</f>
        <v/>
      </c>
      <c r="G141" s="16" t="n"/>
      <c r="H141" s="23">
        <f>IF(B141="","",1)</f>
        <v/>
      </c>
      <c r="I141" s="17">
        <f>IF(B141="","",IF(G141&lt;&gt;"",G141*H141,F141*H141))</f>
        <v/>
      </c>
      <c r="J141" s="24" t="n"/>
      <c r="K141" s="18">
        <f>IF(B141="","",IF(G141&gt;=2000,20,IF(G141&gt;=1000,10,0)))</f>
        <v/>
      </c>
      <c r="L141" s="25" t="n"/>
    </row>
    <row r="142" ht="18" customHeight="1">
      <c r="A142" s="26">
        <f>IF(B142="","",ROW()-4)</f>
        <v/>
      </c>
      <c r="B142" s="15" t="n"/>
      <c r="C142" s="20">
        <f>IF(B142="","",IFERROR(VLOOKUP(B142,'📦产品库'!$B$4:$D$9999,2,0),"⚠️未找到"))</f>
        <v/>
      </c>
      <c r="D142" s="21">
        <f>IF(B142="","",IFERROR(VLOOKUP(B142,'📦产品库'!$B$4:$E$9999,4,0),""))</f>
        <v/>
      </c>
      <c r="E142" s="21">
        <f>IF(B142="","",IFERROR(VLOOKUP(B142,'📦产品库'!$B$4:$F$9999,5,0),""))</f>
        <v/>
      </c>
      <c r="F142" s="22">
        <f>IF(B142="","",IFERROR(VLOOKUP(B142,'📦产品库'!$B$4:$G$9999,6,0),""))</f>
        <v/>
      </c>
      <c r="G142" s="16" t="n"/>
      <c r="H142" s="23">
        <f>IF(B142="","",1)</f>
        <v/>
      </c>
      <c r="I142" s="17">
        <f>IF(B142="","",IF(G142&lt;&gt;"",G142*H142,F142*H142))</f>
        <v/>
      </c>
      <c r="J142" s="24" t="n"/>
      <c r="K142" s="18">
        <f>IF(B142="","",IF(G142&gt;=2000,20,IF(G142&gt;=1000,10,0)))</f>
        <v/>
      </c>
      <c r="L142" s="27" t="n"/>
    </row>
    <row r="143" ht="18" customHeight="1">
      <c r="A143" s="19">
        <f>IF(B143="","",ROW()-4)</f>
        <v/>
      </c>
      <c r="B143" s="15" t="n"/>
      <c r="C143" s="20">
        <f>IF(B143="","",IFERROR(VLOOKUP(B143,'📦产品库'!$B$4:$D$9999,2,0),"⚠️未找到"))</f>
        <v/>
      </c>
      <c r="D143" s="21">
        <f>IF(B143="","",IFERROR(VLOOKUP(B143,'📦产品库'!$B$4:$E$9999,4,0),""))</f>
        <v/>
      </c>
      <c r="E143" s="21">
        <f>IF(B143="","",IFERROR(VLOOKUP(B143,'📦产品库'!$B$4:$F$9999,5,0),""))</f>
        <v/>
      </c>
      <c r="F143" s="22">
        <f>IF(B143="","",IFERROR(VLOOKUP(B143,'📦产品库'!$B$4:$G$9999,6,0),""))</f>
        <v/>
      </c>
      <c r="G143" s="16" t="n"/>
      <c r="H143" s="23">
        <f>IF(B143="","",1)</f>
        <v/>
      </c>
      <c r="I143" s="17">
        <f>IF(B143="","",IF(G143&lt;&gt;"",G143*H143,F143*H143))</f>
        <v/>
      </c>
      <c r="J143" s="24" t="n"/>
      <c r="K143" s="18">
        <f>IF(B143="","",IF(G143&gt;=2000,20,IF(G143&gt;=1000,10,0)))</f>
        <v/>
      </c>
      <c r="L143" s="25" t="n"/>
    </row>
    <row r="144" ht="18" customHeight="1">
      <c r="A144" s="26">
        <f>IF(B144="","",ROW()-4)</f>
        <v/>
      </c>
      <c r="B144" s="15" t="n"/>
      <c r="C144" s="20">
        <f>IF(B144="","",IFERROR(VLOOKUP(B144,'📦产品库'!$B$4:$D$9999,2,0),"⚠️未找到"))</f>
        <v/>
      </c>
      <c r="D144" s="21">
        <f>IF(B144="","",IFERROR(VLOOKUP(B144,'📦产品库'!$B$4:$E$9999,4,0),""))</f>
        <v/>
      </c>
      <c r="E144" s="21">
        <f>IF(B144="","",IFERROR(VLOOKUP(B144,'📦产品库'!$B$4:$F$9999,5,0),""))</f>
        <v/>
      </c>
      <c r="F144" s="22">
        <f>IF(B144="","",IFERROR(VLOOKUP(B144,'📦产品库'!$B$4:$G$9999,6,0),""))</f>
        <v/>
      </c>
      <c r="G144" s="16" t="n"/>
      <c r="H144" s="23">
        <f>IF(B144="","",1)</f>
        <v/>
      </c>
      <c r="I144" s="17">
        <f>IF(B144="","",IF(G144&lt;&gt;"",G144*H144,F144*H144))</f>
        <v/>
      </c>
      <c r="J144" s="24" t="n"/>
      <c r="K144" s="18">
        <f>IF(B144="","",IF(G144&gt;=2000,20,IF(G144&gt;=1000,10,0)))</f>
        <v/>
      </c>
      <c r="L144" s="27" t="n"/>
    </row>
    <row r="145" ht="18" customHeight="1">
      <c r="A145" s="19">
        <f>IF(B145="","",ROW()-4)</f>
        <v/>
      </c>
      <c r="B145" s="15" t="n"/>
      <c r="C145" s="20">
        <f>IF(B145="","",IFERROR(VLOOKUP(B145,'📦产品库'!$B$4:$D$9999,2,0),"⚠️未找到"))</f>
        <v/>
      </c>
      <c r="D145" s="21">
        <f>IF(B145="","",IFERROR(VLOOKUP(B145,'📦产品库'!$B$4:$E$9999,4,0),""))</f>
        <v/>
      </c>
      <c r="E145" s="21">
        <f>IF(B145="","",IFERROR(VLOOKUP(B145,'📦产品库'!$B$4:$F$9999,5,0),""))</f>
        <v/>
      </c>
      <c r="F145" s="22">
        <f>IF(B145="","",IFERROR(VLOOKUP(B145,'📦产品库'!$B$4:$G$9999,6,0),""))</f>
        <v/>
      </c>
      <c r="G145" s="16" t="n"/>
      <c r="H145" s="23">
        <f>IF(B145="","",1)</f>
        <v/>
      </c>
      <c r="I145" s="17">
        <f>IF(B145="","",IF(G145&lt;&gt;"",G145*H145,F145*H145))</f>
        <v/>
      </c>
      <c r="J145" s="24" t="n"/>
      <c r="K145" s="18">
        <f>IF(B145="","",IF(G145&gt;=2000,20,IF(G145&gt;=1000,10,0)))</f>
        <v/>
      </c>
      <c r="L145" s="25" t="n"/>
    </row>
    <row r="146" ht="18" customHeight="1">
      <c r="A146" s="26">
        <f>IF(B146="","",ROW()-4)</f>
        <v/>
      </c>
      <c r="B146" s="15" t="n"/>
      <c r="C146" s="20">
        <f>IF(B146="","",IFERROR(VLOOKUP(B146,'📦产品库'!$B$4:$D$9999,2,0),"⚠️未找到"))</f>
        <v/>
      </c>
      <c r="D146" s="21">
        <f>IF(B146="","",IFERROR(VLOOKUP(B146,'📦产品库'!$B$4:$E$9999,4,0),""))</f>
        <v/>
      </c>
      <c r="E146" s="21">
        <f>IF(B146="","",IFERROR(VLOOKUP(B146,'📦产品库'!$B$4:$F$9999,5,0),""))</f>
        <v/>
      </c>
      <c r="F146" s="22">
        <f>IF(B146="","",IFERROR(VLOOKUP(B146,'📦产品库'!$B$4:$G$9999,6,0),""))</f>
        <v/>
      </c>
      <c r="G146" s="16" t="n"/>
      <c r="H146" s="23">
        <f>IF(B146="","",1)</f>
        <v/>
      </c>
      <c r="I146" s="17">
        <f>IF(B146="","",IF(G146&lt;&gt;"",G146*H146,F146*H146))</f>
        <v/>
      </c>
      <c r="J146" s="24" t="n"/>
      <c r="K146" s="18">
        <f>IF(B146="","",IF(G146&gt;=2000,20,IF(G146&gt;=1000,10,0)))</f>
        <v/>
      </c>
      <c r="L146" s="27" t="n"/>
    </row>
    <row r="147" ht="18" customHeight="1">
      <c r="A147" s="19">
        <f>IF(B147="","",ROW()-4)</f>
        <v/>
      </c>
      <c r="B147" s="15" t="n"/>
      <c r="C147" s="20">
        <f>IF(B147="","",IFERROR(VLOOKUP(B147,'📦产品库'!$B$4:$D$9999,2,0),"⚠️未找到"))</f>
        <v/>
      </c>
      <c r="D147" s="21">
        <f>IF(B147="","",IFERROR(VLOOKUP(B147,'📦产品库'!$B$4:$E$9999,4,0),""))</f>
        <v/>
      </c>
      <c r="E147" s="21">
        <f>IF(B147="","",IFERROR(VLOOKUP(B147,'📦产品库'!$B$4:$F$9999,5,0),""))</f>
        <v/>
      </c>
      <c r="F147" s="22">
        <f>IF(B147="","",IFERROR(VLOOKUP(B147,'📦产品库'!$B$4:$G$9999,6,0),""))</f>
        <v/>
      </c>
      <c r="G147" s="16" t="n"/>
      <c r="H147" s="23">
        <f>IF(B147="","",1)</f>
        <v/>
      </c>
      <c r="I147" s="17">
        <f>IF(B147="","",IF(G147&lt;&gt;"",G147*H147,F147*H147))</f>
        <v/>
      </c>
      <c r="J147" s="24" t="n"/>
      <c r="K147" s="18">
        <f>IF(B147="","",IF(G147&gt;=2000,20,IF(G147&gt;=1000,10,0)))</f>
        <v/>
      </c>
      <c r="L147" s="25" t="n"/>
    </row>
    <row r="148" ht="18" customHeight="1">
      <c r="A148" s="26">
        <f>IF(B148="","",ROW()-4)</f>
        <v/>
      </c>
      <c r="B148" s="15" t="n"/>
      <c r="C148" s="20">
        <f>IF(B148="","",IFERROR(VLOOKUP(B148,'📦产品库'!$B$4:$D$9999,2,0),"⚠️未找到"))</f>
        <v/>
      </c>
      <c r="D148" s="21">
        <f>IF(B148="","",IFERROR(VLOOKUP(B148,'📦产品库'!$B$4:$E$9999,4,0),""))</f>
        <v/>
      </c>
      <c r="E148" s="21">
        <f>IF(B148="","",IFERROR(VLOOKUP(B148,'📦产品库'!$B$4:$F$9999,5,0),""))</f>
        <v/>
      </c>
      <c r="F148" s="22">
        <f>IF(B148="","",IFERROR(VLOOKUP(B148,'📦产品库'!$B$4:$G$9999,6,0),""))</f>
        <v/>
      </c>
      <c r="G148" s="16" t="n"/>
      <c r="H148" s="23">
        <f>IF(B148="","",1)</f>
        <v/>
      </c>
      <c r="I148" s="17">
        <f>IF(B148="","",IF(G148&lt;&gt;"",G148*H148,F148*H148))</f>
        <v/>
      </c>
      <c r="J148" s="24" t="n"/>
      <c r="K148" s="18">
        <f>IF(B148="","",IF(G148&gt;=2000,20,IF(G148&gt;=1000,10,0)))</f>
        <v/>
      </c>
      <c r="L148" s="27" t="n"/>
    </row>
    <row r="149" ht="18" customHeight="1">
      <c r="A149" s="19">
        <f>IF(B149="","",ROW()-4)</f>
        <v/>
      </c>
      <c r="B149" s="15" t="n"/>
      <c r="C149" s="20">
        <f>IF(B149="","",IFERROR(VLOOKUP(B149,'📦产品库'!$B$4:$D$9999,2,0),"⚠️未找到"))</f>
        <v/>
      </c>
      <c r="D149" s="21">
        <f>IF(B149="","",IFERROR(VLOOKUP(B149,'📦产品库'!$B$4:$E$9999,4,0),""))</f>
        <v/>
      </c>
      <c r="E149" s="21">
        <f>IF(B149="","",IFERROR(VLOOKUP(B149,'📦产品库'!$B$4:$F$9999,5,0),""))</f>
        <v/>
      </c>
      <c r="F149" s="22">
        <f>IF(B149="","",IFERROR(VLOOKUP(B149,'📦产品库'!$B$4:$G$9999,6,0),""))</f>
        <v/>
      </c>
      <c r="G149" s="16" t="n"/>
      <c r="H149" s="23">
        <f>IF(B149="","",1)</f>
        <v/>
      </c>
      <c r="I149" s="17">
        <f>IF(B149="","",IF(G149&lt;&gt;"",G149*H149,F149*H149))</f>
        <v/>
      </c>
      <c r="J149" s="24" t="n"/>
      <c r="K149" s="18">
        <f>IF(B149="","",IF(G149&gt;=2000,20,IF(G149&gt;=1000,10,0)))</f>
        <v/>
      </c>
      <c r="L149" s="25" t="n"/>
    </row>
    <row r="150" ht="18" customHeight="1">
      <c r="A150" s="26">
        <f>IF(B150="","",ROW()-4)</f>
        <v/>
      </c>
      <c r="B150" s="15" t="n"/>
      <c r="C150" s="20">
        <f>IF(B150="","",IFERROR(VLOOKUP(B150,'📦产品库'!$B$4:$D$9999,2,0),"⚠️未找到"))</f>
        <v/>
      </c>
      <c r="D150" s="21">
        <f>IF(B150="","",IFERROR(VLOOKUP(B150,'📦产品库'!$B$4:$E$9999,4,0),""))</f>
        <v/>
      </c>
      <c r="E150" s="21">
        <f>IF(B150="","",IFERROR(VLOOKUP(B150,'📦产品库'!$B$4:$F$9999,5,0),""))</f>
        <v/>
      </c>
      <c r="F150" s="22">
        <f>IF(B150="","",IFERROR(VLOOKUP(B150,'📦产品库'!$B$4:$G$9999,6,0),""))</f>
        <v/>
      </c>
      <c r="G150" s="16" t="n"/>
      <c r="H150" s="23">
        <f>IF(B150="","",1)</f>
        <v/>
      </c>
      <c r="I150" s="17">
        <f>IF(B150="","",IF(G150&lt;&gt;"",G150*H150,F150*H150))</f>
        <v/>
      </c>
      <c r="J150" s="24" t="n"/>
      <c r="K150" s="18">
        <f>IF(B150="","",IF(G150&gt;=2000,20,IF(G150&gt;=1000,10,0)))</f>
        <v/>
      </c>
      <c r="L150" s="27" t="n"/>
    </row>
    <row r="151" ht="18" customHeight="1">
      <c r="A151" s="19">
        <f>IF(B151="","",ROW()-4)</f>
        <v/>
      </c>
      <c r="B151" s="15" t="n"/>
      <c r="C151" s="20">
        <f>IF(B151="","",IFERROR(VLOOKUP(B151,'📦产品库'!$B$4:$D$9999,2,0),"⚠️未找到"))</f>
        <v/>
      </c>
      <c r="D151" s="21">
        <f>IF(B151="","",IFERROR(VLOOKUP(B151,'📦产品库'!$B$4:$E$9999,4,0),""))</f>
        <v/>
      </c>
      <c r="E151" s="21">
        <f>IF(B151="","",IFERROR(VLOOKUP(B151,'📦产品库'!$B$4:$F$9999,5,0),""))</f>
        <v/>
      </c>
      <c r="F151" s="22">
        <f>IF(B151="","",IFERROR(VLOOKUP(B151,'📦产品库'!$B$4:$G$9999,6,0),""))</f>
        <v/>
      </c>
      <c r="G151" s="16" t="n"/>
      <c r="H151" s="23">
        <f>IF(B151="","",1)</f>
        <v/>
      </c>
      <c r="I151" s="17">
        <f>IF(B151="","",IF(G151&lt;&gt;"",G151*H151,F151*H151))</f>
        <v/>
      </c>
      <c r="J151" s="24" t="n"/>
      <c r="K151" s="18">
        <f>IF(B151="","",IF(G151&gt;=2000,20,IF(G151&gt;=1000,10,0)))</f>
        <v/>
      </c>
      <c r="L151" s="25" t="n"/>
    </row>
    <row r="152" ht="18" customHeight="1">
      <c r="A152" s="26">
        <f>IF(B152="","",ROW()-4)</f>
        <v/>
      </c>
      <c r="B152" s="15" t="n"/>
      <c r="C152" s="20">
        <f>IF(B152="","",IFERROR(VLOOKUP(B152,'📦产品库'!$B$4:$D$9999,2,0),"⚠️未找到"))</f>
        <v/>
      </c>
      <c r="D152" s="21">
        <f>IF(B152="","",IFERROR(VLOOKUP(B152,'📦产品库'!$B$4:$E$9999,4,0),""))</f>
        <v/>
      </c>
      <c r="E152" s="21">
        <f>IF(B152="","",IFERROR(VLOOKUP(B152,'📦产品库'!$B$4:$F$9999,5,0),""))</f>
        <v/>
      </c>
      <c r="F152" s="22">
        <f>IF(B152="","",IFERROR(VLOOKUP(B152,'📦产品库'!$B$4:$G$9999,6,0),""))</f>
        <v/>
      </c>
      <c r="G152" s="16" t="n"/>
      <c r="H152" s="23">
        <f>IF(B152="","",1)</f>
        <v/>
      </c>
      <c r="I152" s="17">
        <f>IF(B152="","",IF(G152&lt;&gt;"",G152*H152,F152*H152))</f>
        <v/>
      </c>
      <c r="J152" s="24" t="n"/>
      <c r="K152" s="18">
        <f>IF(B152="","",IF(G152&gt;=2000,20,IF(G152&gt;=1000,10,0)))</f>
        <v/>
      </c>
      <c r="L152" s="27" t="n"/>
    </row>
    <row r="153" ht="18" customHeight="1">
      <c r="A153" s="19">
        <f>IF(B153="","",ROW()-4)</f>
        <v/>
      </c>
      <c r="B153" s="15" t="n"/>
      <c r="C153" s="20">
        <f>IF(B153="","",IFERROR(VLOOKUP(B153,'📦产品库'!$B$4:$D$9999,2,0),"⚠️未找到"))</f>
        <v/>
      </c>
      <c r="D153" s="21">
        <f>IF(B153="","",IFERROR(VLOOKUP(B153,'📦产品库'!$B$4:$E$9999,4,0),""))</f>
        <v/>
      </c>
      <c r="E153" s="21">
        <f>IF(B153="","",IFERROR(VLOOKUP(B153,'📦产品库'!$B$4:$F$9999,5,0),""))</f>
        <v/>
      </c>
      <c r="F153" s="22">
        <f>IF(B153="","",IFERROR(VLOOKUP(B153,'📦产品库'!$B$4:$G$9999,6,0),""))</f>
        <v/>
      </c>
      <c r="G153" s="16" t="n"/>
      <c r="H153" s="23">
        <f>IF(B153="","",1)</f>
        <v/>
      </c>
      <c r="I153" s="17">
        <f>IF(B153="","",IF(G153&lt;&gt;"",G153*H153,F153*H153))</f>
        <v/>
      </c>
      <c r="J153" s="24" t="n"/>
      <c r="K153" s="18">
        <f>IF(B153="","",IF(G153&gt;=2000,20,IF(G153&gt;=1000,10,0)))</f>
        <v/>
      </c>
      <c r="L153" s="25" t="n"/>
    </row>
    <row r="154" ht="18" customHeight="1">
      <c r="A154" s="26">
        <f>IF(B154="","",ROW()-4)</f>
        <v/>
      </c>
      <c r="B154" s="15" t="n"/>
      <c r="C154" s="20">
        <f>IF(B154="","",IFERROR(VLOOKUP(B154,'📦产品库'!$B$4:$D$9999,2,0),"⚠️未找到"))</f>
        <v/>
      </c>
      <c r="D154" s="21">
        <f>IF(B154="","",IFERROR(VLOOKUP(B154,'📦产品库'!$B$4:$E$9999,4,0),""))</f>
        <v/>
      </c>
      <c r="E154" s="21">
        <f>IF(B154="","",IFERROR(VLOOKUP(B154,'📦产品库'!$B$4:$F$9999,5,0),""))</f>
        <v/>
      </c>
      <c r="F154" s="22">
        <f>IF(B154="","",IFERROR(VLOOKUP(B154,'📦产品库'!$B$4:$G$9999,6,0),""))</f>
        <v/>
      </c>
      <c r="G154" s="16" t="n"/>
      <c r="H154" s="23">
        <f>IF(B154="","",1)</f>
        <v/>
      </c>
      <c r="I154" s="17">
        <f>IF(B154="","",IF(G154&lt;&gt;"",G154*H154,F154*H154))</f>
        <v/>
      </c>
      <c r="J154" s="24" t="n"/>
      <c r="K154" s="18">
        <f>IF(B154="","",IF(G154&gt;=2000,20,IF(G154&gt;=1000,10,0)))</f>
        <v/>
      </c>
      <c r="L154" s="27" t="n"/>
    </row>
    <row r="155" ht="18" customHeight="1">
      <c r="A155" s="19">
        <f>IF(B155="","",ROW()-4)</f>
        <v/>
      </c>
      <c r="B155" s="15" t="n"/>
      <c r="C155" s="20">
        <f>IF(B155="","",IFERROR(VLOOKUP(B155,'📦产品库'!$B$4:$D$9999,2,0),"⚠️未找到"))</f>
        <v/>
      </c>
      <c r="D155" s="21">
        <f>IF(B155="","",IFERROR(VLOOKUP(B155,'📦产品库'!$B$4:$E$9999,4,0),""))</f>
        <v/>
      </c>
      <c r="E155" s="21">
        <f>IF(B155="","",IFERROR(VLOOKUP(B155,'📦产品库'!$B$4:$F$9999,5,0),""))</f>
        <v/>
      </c>
      <c r="F155" s="22">
        <f>IF(B155="","",IFERROR(VLOOKUP(B155,'📦产品库'!$B$4:$G$9999,6,0),""))</f>
        <v/>
      </c>
      <c r="G155" s="16" t="n"/>
      <c r="H155" s="23">
        <f>IF(B155="","",1)</f>
        <v/>
      </c>
      <c r="I155" s="17">
        <f>IF(B155="","",IF(G155&lt;&gt;"",G155*H155,F155*H155))</f>
        <v/>
      </c>
      <c r="J155" s="24" t="n"/>
      <c r="K155" s="18">
        <f>IF(B155="","",IF(G155&gt;=2000,20,IF(G155&gt;=1000,10,0)))</f>
        <v/>
      </c>
      <c r="L155" s="25" t="n"/>
    </row>
    <row r="156" ht="18" customHeight="1">
      <c r="A156" s="26">
        <f>IF(B156="","",ROW()-4)</f>
        <v/>
      </c>
      <c r="B156" s="15" t="n"/>
      <c r="C156" s="20">
        <f>IF(B156="","",IFERROR(VLOOKUP(B156,'📦产品库'!$B$4:$D$9999,2,0),"⚠️未找到"))</f>
        <v/>
      </c>
      <c r="D156" s="21">
        <f>IF(B156="","",IFERROR(VLOOKUP(B156,'📦产品库'!$B$4:$E$9999,4,0),""))</f>
        <v/>
      </c>
      <c r="E156" s="21">
        <f>IF(B156="","",IFERROR(VLOOKUP(B156,'📦产品库'!$B$4:$F$9999,5,0),""))</f>
        <v/>
      </c>
      <c r="F156" s="22">
        <f>IF(B156="","",IFERROR(VLOOKUP(B156,'📦产品库'!$B$4:$G$9999,6,0),""))</f>
        <v/>
      </c>
      <c r="G156" s="16" t="n"/>
      <c r="H156" s="23">
        <f>IF(B156="","",1)</f>
        <v/>
      </c>
      <c r="I156" s="17">
        <f>IF(B156="","",IF(G156&lt;&gt;"",G156*H156,F156*H156))</f>
        <v/>
      </c>
      <c r="J156" s="24" t="n"/>
      <c r="K156" s="18">
        <f>IF(B156="","",IF(G156&gt;=2000,20,IF(G156&gt;=1000,10,0)))</f>
        <v/>
      </c>
      <c r="L156" s="27" t="n"/>
    </row>
    <row r="157" ht="18" customHeight="1">
      <c r="A157" s="19">
        <f>IF(B157="","",ROW()-4)</f>
        <v/>
      </c>
      <c r="B157" s="15" t="n"/>
      <c r="C157" s="20">
        <f>IF(B157="","",IFERROR(VLOOKUP(B157,'📦产品库'!$B$4:$D$9999,2,0),"⚠️未找到"))</f>
        <v/>
      </c>
      <c r="D157" s="21">
        <f>IF(B157="","",IFERROR(VLOOKUP(B157,'📦产品库'!$B$4:$E$9999,4,0),""))</f>
        <v/>
      </c>
      <c r="E157" s="21">
        <f>IF(B157="","",IFERROR(VLOOKUP(B157,'📦产品库'!$B$4:$F$9999,5,0),""))</f>
        <v/>
      </c>
      <c r="F157" s="22">
        <f>IF(B157="","",IFERROR(VLOOKUP(B157,'📦产品库'!$B$4:$G$9999,6,0),""))</f>
        <v/>
      </c>
      <c r="G157" s="16" t="n"/>
      <c r="H157" s="23">
        <f>IF(B157="","",1)</f>
        <v/>
      </c>
      <c r="I157" s="17">
        <f>IF(B157="","",IF(G157&lt;&gt;"",G157*H157,F157*H157))</f>
        <v/>
      </c>
      <c r="J157" s="24" t="n"/>
      <c r="K157" s="18">
        <f>IF(B157="","",IF(G157&gt;=2000,20,IF(G157&gt;=1000,10,0)))</f>
        <v/>
      </c>
      <c r="L157" s="25" t="n"/>
    </row>
    <row r="158" ht="18" customHeight="1">
      <c r="A158" s="26">
        <f>IF(B158="","",ROW()-4)</f>
        <v/>
      </c>
      <c r="B158" s="15" t="n"/>
      <c r="C158" s="20">
        <f>IF(B158="","",IFERROR(VLOOKUP(B158,'📦产品库'!$B$4:$D$9999,2,0),"⚠️未找到"))</f>
        <v/>
      </c>
      <c r="D158" s="21">
        <f>IF(B158="","",IFERROR(VLOOKUP(B158,'📦产品库'!$B$4:$E$9999,4,0),""))</f>
        <v/>
      </c>
      <c r="E158" s="21">
        <f>IF(B158="","",IFERROR(VLOOKUP(B158,'📦产品库'!$B$4:$F$9999,5,0),""))</f>
        <v/>
      </c>
      <c r="F158" s="22">
        <f>IF(B158="","",IFERROR(VLOOKUP(B158,'📦产品库'!$B$4:$G$9999,6,0),""))</f>
        <v/>
      </c>
      <c r="G158" s="16" t="n"/>
      <c r="H158" s="23">
        <f>IF(B158="","",1)</f>
        <v/>
      </c>
      <c r="I158" s="17">
        <f>IF(B158="","",IF(G158&lt;&gt;"",G158*H158,F158*H158))</f>
        <v/>
      </c>
      <c r="J158" s="24" t="n"/>
      <c r="K158" s="18">
        <f>IF(B158="","",IF(G158&gt;=2000,20,IF(G158&gt;=1000,10,0)))</f>
        <v/>
      </c>
      <c r="L158" s="27" t="n"/>
    </row>
    <row r="159" ht="18" customHeight="1">
      <c r="A159" s="19">
        <f>IF(B159="","",ROW()-4)</f>
        <v/>
      </c>
      <c r="B159" s="15" t="n"/>
      <c r="C159" s="20">
        <f>IF(B159="","",IFERROR(VLOOKUP(B159,'📦产品库'!$B$4:$D$9999,2,0),"⚠️未找到"))</f>
        <v/>
      </c>
      <c r="D159" s="21">
        <f>IF(B159="","",IFERROR(VLOOKUP(B159,'📦产品库'!$B$4:$E$9999,4,0),""))</f>
        <v/>
      </c>
      <c r="E159" s="21">
        <f>IF(B159="","",IFERROR(VLOOKUP(B159,'📦产品库'!$B$4:$F$9999,5,0),""))</f>
        <v/>
      </c>
      <c r="F159" s="22">
        <f>IF(B159="","",IFERROR(VLOOKUP(B159,'📦产品库'!$B$4:$G$9999,6,0),""))</f>
        <v/>
      </c>
      <c r="G159" s="16" t="n"/>
      <c r="H159" s="23">
        <f>IF(B159="","",1)</f>
        <v/>
      </c>
      <c r="I159" s="17">
        <f>IF(B159="","",IF(G159&lt;&gt;"",G159*H159,F159*H159))</f>
        <v/>
      </c>
      <c r="J159" s="24" t="n"/>
      <c r="K159" s="18">
        <f>IF(B159="","",IF(G159&gt;=2000,20,IF(G159&gt;=1000,10,0)))</f>
        <v/>
      </c>
      <c r="L159" s="25" t="n"/>
    </row>
    <row r="160" ht="18" customHeight="1">
      <c r="A160" s="26">
        <f>IF(B160="","",ROW()-4)</f>
        <v/>
      </c>
      <c r="B160" s="15" t="n"/>
      <c r="C160" s="20">
        <f>IF(B160="","",IFERROR(VLOOKUP(B160,'📦产品库'!$B$4:$D$9999,2,0),"⚠️未找到"))</f>
        <v/>
      </c>
      <c r="D160" s="21">
        <f>IF(B160="","",IFERROR(VLOOKUP(B160,'📦产品库'!$B$4:$E$9999,4,0),""))</f>
        <v/>
      </c>
      <c r="E160" s="21">
        <f>IF(B160="","",IFERROR(VLOOKUP(B160,'📦产品库'!$B$4:$F$9999,5,0),""))</f>
        <v/>
      </c>
      <c r="F160" s="22">
        <f>IF(B160="","",IFERROR(VLOOKUP(B160,'📦产品库'!$B$4:$G$9999,6,0),""))</f>
        <v/>
      </c>
      <c r="G160" s="16" t="n"/>
      <c r="H160" s="23">
        <f>IF(B160="","",1)</f>
        <v/>
      </c>
      <c r="I160" s="17">
        <f>IF(B160="","",IF(G160&lt;&gt;"",G160*H160,F160*H160))</f>
        <v/>
      </c>
      <c r="J160" s="24" t="n"/>
      <c r="K160" s="18">
        <f>IF(B160="","",IF(G160&gt;=2000,20,IF(G160&gt;=1000,10,0)))</f>
        <v/>
      </c>
      <c r="L160" s="27" t="n"/>
    </row>
    <row r="161" ht="18" customHeight="1">
      <c r="A161" s="19">
        <f>IF(B161="","",ROW()-4)</f>
        <v/>
      </c>
      <c r="B161" s="15" t="n"/>
      <c r="C161" s="20">
        <f>IF(B161="","",IFERROR(VLOOKUP(B161,'📦产品库'!$B$4:$D$9999,2,0),"⚠️未找到"))</f>
        <v/>
      </c>
      <c r="D161" s="21">
        <f>IF(B161="","",IFERROR(VLOOKUP(B161,'📦产品库'!$B$4:$E$9999,4,0),""))</f>
        <v/>
      </c>
      <c r="E161" s="21">
        <f>IF(B161="","",IFERROR(VLOOKUP(B161,'📦产品库'!$B$4:$F$9999,5,0),""))</f>
        <v/>
      </c>
      <c r="F161" s="22">
        <f>IF(B161="","",IFERROR(VLOOKUP(B161,'📦产品库'!$B$4:$G$9999,6,0),""))</f>
        <v/>
      </c>
      <c r="G161" s="16" t="n"/>
      <c r="H161" s="23">
        <f>IF(B161="","",1)</f>
        <v/>
      </c>
      <c r="I161" s="17">
        <f>IF(B161="","",IF(G161&lt;&gt;"",G161*H161,F161*H161))</f>
        <v/>
      </c>
      <c r="J161" s="24" t="n"/>
      <c r="K161" s="18">
        <f>IF(B161="","",IF(G161&gt;=2000,20,IF(G161&gt;=1000,10,0)))</f>
        <v/>
      </c>
      <c r="L161" s="25" t="n"/>
    </row>
    <row r="162" ht="18" customHeight="1">
      <c r="A162" s="26">
        <f>IF(B162="","",ROW()-4)</f>
        <v/>
      </c>
      <c r="B162" s="15" t="n"/>
      <c r="C162" s="20">
        <f>IF(B162="","",IFERROR(VLOOKUP(B162,'📦产品库'!$B$4:$D$9999,2,0),"⚠️未找到"))</f>
        <v/>
      </c>
      <c r="D162" s="21">
        <f>IF(B162="","",IFERROR(VLOOKUP(B162,'📦产品库'!$B$4:$E$9999,4,0),""))</f>
        <v/>
      </c>
      <c r="E162" s="21">
        <f>IF(B162="","",IFERROR(VLOOKUP(B162,'📦产品库'!$B$4:$F$9999,5,0),""))</f>
        <v/>
      </c>
      <c r="F162" s="22">
        <f>IF(B162="","",IFERROR(VLOOKUP(B162,'📦产品库'!$B$4:$G$9999,6,0),""))</f>
        <v/>
      </c>
      <c r="G162" s="16" t="n"/>
      <c r="H162" s="23">
        <f>IF(B162="","",1)</f>
        <v/>
      </c>
      <c r="I162" s="17">
        <f>IF(B162="","",IF(G162&lt;&gt;"",G162*H162,F162*H162))</f>
        <v/>
      </c>
      <c r="J162" s="24" t="n"/>
      <c r="K162" s="18">
        <f>IF(B162="","",IF(G162&gt;=2000,20,IF(G162&gt;=1000,10,0)))</f>
        <v/>
      </c>
      <c r="L162" s="27" t="n"/>
    </row>
    <row r="163" ht="18" customHeight="1">
      <c r="A163" s="19">
        <f>IF(B163="","",ROW()-4)</f>
        <v/>
      </c>
      <c r="B163" s="15" t="n"/>
      <c r="C163" s="20">
        <f>IF(B163="","",IFERROR(VLOOKUP(B163,'📦产品库'!$B$4:$D$9999,2,0),"⚠️未找到"))</f>
        <v/>
      </c>
      <c r="D163" s="21">
        <f>IF(B163="","",IFERROR(VLOOKUP(B163,'📦产品库'!$B$4:$E$9999,4,0),""))</f>
        <v/>
      </c>
      <c r="E163" s="21">
        <f>IF(B163="","",IFERROR(VLOOKUP(B163,'📦产品库'!$B$4:$F$9999,5,0),""))</f>
        <v/>
      </c>
      <c r="F163" s="22">
        <f>IF(B163="","",IFERROR(VLOOKUP(B163,'📦产品库'!$B$4:$G$9999,6,0),""))</f>
        <v/>
      </c>
      <c r="G163" s="16" t="n"/>
      <c r="H163" s="23">
        <f>IF(B163="","",1)</f>
        <v/>
      </c>
      <c r="I163" s="17">
        <f>IF(B163="","",IF(G163&lt;&gt;"",G163*H163,F163*H163))</f>
        <v/>
      </c>
      <c r="J163" s="24" t="n"/>
      <c r="K163" s="18">
        <f>IF(B163="","",IF(G163&gt;=2000,20,IF(G163&gt;=1000,10,0)))</f>
        <v/>
      </c>
      <c r="L163" s="25" t="n"/>
    </row>
    <row r="164" ht="18" customHeight="1">
      <c r="A164" s="26">
        <f>IF(B164="","",ROW()-4)</f>
        <v/>
      </c>
      <c r="B164" s="15" t="n"/>
      <c r="C164" s="20">
        <f>IF(B164="","",IFERROR(VLOOKUP(B164,'📦产品库'!$B$4:$D$9999,2,0),"⚠️未找到"))</f>
        <v/>
      </c>
      <c r="D164" s="21">
        <f>IF(B164="","",IFERROR(VLOOKUP(B164,'📦产品库'!$B$4:$E$9999,4,0),""))</f>
        <v/>
      </c>
      <c r="E164" s="21">
        <f>IF(B164="","",IFERROR(VLOOKUP(B164,'📦产品库'!$B$4:$F$9999,5,0),""))</f>
        <v/>
      </c>
      <c r="F164" s="22">
        <f>IF(B164="","",IFERROR(VLOOKUP(B164,'📦产品库'!$B$4:$G$9999,6,0),""))</f>
        <v/>
      </c>
      <c r="G164" s="16" t="n"/>
      <c r="H164" s="23">
        <f>IF(B164="","",1)</f>
        <v/>
      </c>
      <c r="I164" s="17">
        <f>IF(B164="","",IF(G164&lt;&gt;"",G164*H164,F164*H164))</f>
        <v/>
      </c>
      <c r="J164" s="24" t="n"/>
      <c r="K164" s="18">
        <f>IF(B164="","",IF(G164&gt;=2000,20,IF(G164&gt;=1000,10,0)))</f>
        <v/>
      </c>
      <c r="L164" s="27" t="n"/>
    </row>
    <row r="165" ht="18" customHeight="1">
      <c r="A165" s="19">
        <f>IF(B165="","",ROW()-4)</f>
        <v/>
      </c>
      <c r="B165" s="15" t="n"/>
      <c r="C165" s="20">
        <f>IF(B165="","",IFERROR(VLOOKUP(B165,'📦产品库'!$B$4:$D$9999,2,0),"⚠️未找到"))</f>
        <v/>
      </c>
      <c r="D165" s="21">
        <f>IF(B165="","",IFERROR(VLOOKUP(B165,'📦产品库'!$B$4:$E$9999,4,0),""))</f>
        <v/>
      </c>
      <c r="E165" s="21">
        <f>IF(B165="","",IFERROR(VLOOKUP(B165,'📦产品库'!$B$4:$F$9999,5,0),""))</f>
        <v/>
      </c>
      <c r="F165" s="22">
        <f>IF(B165="","",IFERROR(VLOOKUP(B165,'📦产品库'!$B$4:$G$9999,6,0),""))</f>
        <v/>
      </c>
      <c r="G165" s="16" t="n"/>
      <c r="H165" s="23">
        <f>IF(B165="","",1)</f>
        <v/>
      </c>
      <c r="I165" s="17">
        <f>IF(B165="","",IF(G165&lt;&gt;"",G165*H165,F165*H165))</f>
        <v/>
      </c>
      <c r="J165" s="24" t="n"/>
      <c r="K165" s="18">
        <f>IF(B165="","",IF(G165&gt;=2000,20,IF(G165&gt;=1000,10,0)))</f>
        <v/>
      </c>
      <c r="L165" s="25" t="n"/>
    </row>
    <row r="166" ht="18" customHeight="1">
      <c r="A166" s="26">
        <f>IF(B166="","",ROW()-4)</f>
        <v/>
      </c>
      <c r="B166" s="15" t="n"/>
      <c r="C166" s="20">
        <f>IF(B166="","",IFERROR(VLOOKUP(B166,'📦产品库'!$B$4:$D$9999,2,0),"⚠️未找到"))</f>
        <v/>
      </c>
      <c r="D166" s="21">
        <f>IF(B166="","",IFERROR(VLOOKUP(B166,'📦产品库'!$B$4:$E$9999,4,0),""))</f>
        <v/>
      </c>
      <c r="E166" s="21">
        <f>IF(B166="","",IFERROR(VLOOKUP(B166,'📦产品库'!$B$4:$F$9999,5,0),""))</f>
        <v/>
      </c>
      <c r="F166" s="22">
        <f>IF(B166="","",IFERROR(VLOOKUP(B166,'📦产品库'!$B$4:$G$9999,6,0),""))</f>
        <v/>
      </c>
      <c r="G166" s="16" t="n"/>
      <c r="H166" s="23">
        <f>IF(B166="","",1)</f>
        <v/>
      </c>
      <c r="I166" s="17">
        <f>IF(B166="","",IF(G166&lt;&gt;"",G166*H166,F166*H166))</f>
        <v/>
      </c>
      <c r="J166" s="24" t="n"/>
      <c r="K166" s="18">
        <f>IF(B166="","",IF(G166&gt;=2000,20,IF(G166&gt;=1000,10,0)))</f>
        <v/>
      </c>
      <c r="L166" s="27" t="n"/>
    </row>
    <row r="167" ht="18" customHeight="1">
      <c r="A167" s="19">
        <f>IF(B167="","",ROW()-4)</f>
        <v/>
      </c>
      <c r="B167" s="15" t="n"/>
      <c r="C167" s="20">
        <f>IF(B167="","",IFERROR(VLOOKUP(B167,'📦产品库'!$B$4:$D$9999,2,0),"⚠️未找到"))</f>
        <v/>
      </c>
      <c r="D167" s="21">
        <f>IF(B167="","",IFERROR(VLOOKUP(B167,'📦产品库'!$B$4:$E$9999,4,0),""))</f>
        <v/>
      </c>
      <c r="E167" s="21">
        <f>IF(B167="","",IFERROR(VLOOKUP(B167,'📦产品库'!$B$4:$F$9999,5,0),""))</f>
        <v/>
      </c>
      <c r="F167" s="22">
        <f>IF(B167="","",IFERROR(VLOOKUP(B167,'📦产品库'!$B$4:$G$9999,6,0),""))</f>
        <v/>
      </c>
      <c r="G167" s="16" t="n"/>
      <c r="H167" s="23">
        <f>IF(B167="","",1)</f>
        <v/>
      </c>
      <c r="I167" s="17">
        <f>IF(B167="","",IF(G167&lt;&gt;"",G167*H167,F167*H167))</f>
        <v/>
      </c>
      <c r="J167" s="24" t="n"/>
      <c r="K167" s="18">
        <f>IF(B167="","",IF(G167&gt;=2000,20,IF(G167&gt;=1000,10,0)))</f>
        <v/>
      </c>
      <c r="L167" s="25" t="n"/>
    </row>
    <row r="168" ht="18" customHeight="1">
      <c r="A168" s="26">
        <f>IF(B168="","",ROW()-4)</f>
        <v/>
      </c>
      <c r="B168" s="15" t="n"/>
      <c r="C168" s="20">
        <f>IF(B168="","",IFERROR(VLOOKUP(B168,'📦产品库'!$B$4:$D$9999,2,0),"⚠️未找到"))</f>
        <v/>
      </c>
      <c r="D168" s="21">
        <f>IF(B168="","",IFERROR(VLOOKUP(B168,'📦产品库'!$B$4:$E$9999,4,0),""))</f>
        <v/>
      </c>
      <c r="E168" s="21">
        <f>IF(B168="","",IFERROR(VLOOKUP(B168,'📦产品库'!$B$4:$F$9999,5,0),""))</f>
        <v/>
      </c>
      <c r="F168" s="22">
        <f>IF(B168="","",IFERROR(VLOOKUP(B168,'📦产品库'!$B$4:$G$9999,6,0),""))</f>
        <v/>
      </c>
      <c r="G168" s="16" t="n"/>
      <c r="H168" s="23">
        <f>IF(B168="","",1)</f>
        <v/>
      </c>
      <c r="I168" s="17">
        <f>IF(B168="","",IF(G168&lt;&gt;"",G168*H168,F168*H168))</f>
        <v/>
      </c>
      <c r="J168" s="24" t="n"/>
      <c r="K168" s="18">
        <f>IF(B168="","",IF(G168&gt;=2000,20,IF(G168&gt;=1000,10,0)))</f>
        <v/>
      </c>
      <c r="L168" s="27" t="n"/>
    </row>
    <row r="169" ht="18" customHeight="1">
      <c r="A169" s="19">
        <f>IF(B169="","",ROW()-4)</f>
        <v/>
      </c>
      <c r="B169" s="15" t="n"/>
      <c r="C169" s="20">
        <f>IF(B169="","",IFERROR(VLOOKUP(B169,'📦产品库'!$B$4:$D$9999,2,0),"⚠️未找到"))</f>
        <v/>
      </c>
      <c r="D169" s="21">
        <f>IF(B169="","",IFERROR(VLOOKUP(B169,'📦产品库'!$B$4:$E$9999,4,0),""))</f>
        <v/>
      </c>
      <c r="E169" s="21">
        <f>IF(B169="","",IFERROR(VLOOKUP(B169,'📦产品库'!$B$4:$F$9999,5,0),""))</f>
        <v/>
      </c>
      <c r="F169" s="22">
        <f>IF(B169="","",IFERROR(VLOOKUP(B169,'📦产品库'!$B$4:$G$9999,6,0),""))</f>
        <v/>
      </c>
      <c r="G169" s="16" t="n"/>
      <c r="H169" s="23">
        <f>IF(B169="","",1)</f>
        <v/>
      </c>
      <c r="I169" s="17">
        <f>IF(B169="","",IF(G169&lt;&gt;"",G169*H169,F169*H169))</f>
        <v/>
      </c>
      <c r="J169" s="24" t="n"/>
      <c r="K169" s="18">
        <f>IF(B169="","",IF(G169&gt;=2000,20,IF(G169&gt;=1000,10,0)))</f>
        <v/>
      </c>
      <c r="L169" s="25" t="n"/>
    </row>
    <row r="170" ht="18" customHeight="1">
      <c r="A170" s="26">
        <f>IF(B170="","",ROW()-4)</f>
        <v/>
      </c>
      <c r="B170" s="15" t="n"/>
      <c r="C170" s="20">
        <f>IF(B170="","",IFERROR(VLOOKUP(B170,'📦产品库'!$B$4:$D$9999,2,0),"⚠️未找到"))</f>
        <v/>
      </c>
      <c r="D170" s="21">
        <f>IF(B170="","",IFERROR(VLOOKUP(B170,'📦产品库'!$B$4:$E$9999,4,0),""))</f>
        <v/>
      </c>
      <c r="E170" s="21">
        <f>IF(B170="","",IFERROR(VLOOKUP(B170,'📦产品库'!$B$4:$F$9999,5,0),""))</f>
        <v/>
      </c>
      <c r="F170" s="22">
        <f>IF(B170="","",IFERROR(VLOOKUP(B170,'📦产品库'!$B$4:$G$9999,6,0),""))</f>
        <v/>
      </c>
      <c r="G170" s="16" t="n"/>
      <c r="H170" s="23">
        <f>IF(B170="","",1)</f>
        <v/>
      </c>
      <c r="I170" s="17">
        <f>IF(B170="","",IF(G170&lt;&gt;"",G170*H170,F170*H170))</f>
        <v/>
      </c>
      <c r="J170" s="24" t="n"/>
      <c r="K170" s="18">
        <f>IF(B170="","",IF(G170&gt;=2000,20,IF(G170&gt;=1000,10,0)))</f>
        <v/>
      </c>
      <c r="L170" s="27" t="n"/>
    </row>
    <row r="171" ht="18" customHeight="1">
      <c r="A171" s="19">
        <f>IF(B171="","",ROW()-4)</f>
        <v/>
      </c>
      <c r="B171" s="15" t="n"/>
      <c r="C171" s="20">
        <f>IF(B171="","",IFERROR(VLOOKUP(B171,'📦产品库'!$B$4:$D$9999,2,0),"⚠️未找到"))</f>
        <v/>
      </c>
      <c r="D171" s="21">
        <f>IF(B171="","",IFERROR(VLOOKUP(B171,'📦产品库'!$B$4:$E$9999,4,0),""))</f>
        <v/>
      </c>
      <c r="E171" s="21">
        <f>IF(B171="","",IFERROR(VLOOKUP(B171,'📦产品库'!$B$4:$F$9999,5,0),""))</f>
        <v/>
      </c>
      <c r="F171" s="22">
        <f>IF(B171="","",IFERROR(VLOOKUP(B171,'📦产品库'!$B$4:$G$9999,6,0),""))</f>
        <v/>
      </c>
      <c r="G171" s="16" t="n"/>
      <c r="H171" s="23">
        <f>IF(B171="","",1)</f>
        <v/>
      </c>
      <c r="I171" s="17">
        <f>IF(B171="","",IF(G171&lt;&gt;"",G171*H171,F171*H171))</f>
        <v/>
      </c>
      <c r="J171" s="24" t="n"/>
      <c r="K171" s="18">
        <f>IF(B171="","",IF(G171&gt;=2000,20,IF(G171&gt;=1000,10,0)))</f>
        <v/>
      </c>
      <c r="L171" s="25" t="n"/>
    </row>
    <row r="172" ht="18" customHeight="1">
      <c r="A172" s="26">
        <f>IF(B172="","",ROW()-4)</f>
        <v/>
      </c>
      <c r="B172" s="15" t="n"/>
      <c r="C172" s="20">
        <f>IF(B172="","",IFERROR(VLOOKUP(B172,'📦产品库'!$B$4:$D$9999,2,0),"⚠️未找到"))</f>
        <v/>
      </c>
      <c r="D172" s="21">
        <f>IF(B172="","",IFERROR(VLOOKUP(B172,'📦产品库'!$B$4:$E$9999,4,0),""))</f>
        <v/>
      </c>
      <c r="E172" s="21">
        <f>IF(B172="","",IFERROR(VLOOKUP(B172,'📦产品库'!$B$4:$F$9999,5,0),""))</f>
        <v/>
      </c>
      <c r="F172" s="22">
        <f>IF(B172="","",IFERROR(VLOOKUP(B172,'📦产品库'!$B$4:$G$9999,6,0),""))</f>
        <v/>
      </c>
      <c r="G172" s="16" t="n"/>
      <c r="H172" s="23">
        <f>IF(B172="","",1)</f>
        <v/>
      </c>
      <c r="I172" s="17">
        <f>IF(B172="","",IF(G172&lt;&gt;"",G172*H172,F172*H172))</f>
        <v/>
      </c>
      <c r="J172" s="24" t="n"/>
      <c r="K172" s="18">
        <f>IF(B172="","",IF(G172&gt;=2000,20,IF(G172&gt;=1000,10,0)))</f>
        <v/>
      </c>
      <c r="L172" s="27" t="n"/>
    </row>
    <row r="173" ht="18" customHeight="1">
      <c r="A173" s="19">
        <f>IF(B173="","",ROW()-4)</f>
        <v/>
      </c>
      <c r="B173" s="15" t="n"/>
      <c r="C173" s="20">
        <f>IF(B173="","",IFERROR(VLOOKUP(B173,'📦产品库'!$B$4:$D$9999,2,0),"⚠️未找到"))</f>
        <v/>
      </c>
      <c r="D173" s="21">
        <f>IF(B173="","",IFERROR(VLOOKUP(B173,'📦产品库'!$B$4:$E$9999,4,0),""))</f>
        <v/>
      </c>
      <c r="E173" s="21">
        <f>IF(B173="","",IFERROR(VLOOKUP(B173,'📦产品库'!$B$4:$F$9999,5,0),""))</f>
        <v/>
      </c>
      <c r="F173" s="22">
        <f>IF(B173="","",IFERROR(VLOOKUP(B173,'📦产品库'!$B$4:$G$9999,6,0),""))</f>
        <v/>
      </c>
      <c r="G173" s="16" t="n"/>
      <c r="H173" s="23">
        <f>IF(B173="","",1)</f>
        <v/>
      </c>
      <c r="I173" s="17">
        <f>IF(B173="","",IF(G173&lt;&gt;"",G173*H173,F173*H173))</f>
        <v/>
      </c>
      <c r="J173" s="24" t="n"/>
      <c r="K173" s="18">
        <f>IF(B173="","",IF(G173&gt;=2000,20,IF(G173&gt;=1000,10,0)))</f>
        <v/>
      </c>
      <c r="L173" s="25" t="n"/>
    </row>
    <row r="174" ht="18" customHeight="1">
      <c r="A174" s="26">
        <f>IF(B174="","",ROW()-4)</f>
        <v/>
      </c>
      <c r="B174" s="15" t="n"/>
      <c r="C174" s="20">
        <f>IF(B174="","",IFERROR(VLOOKUP(B174,'📦产品库'!$B$4:$D$9999,2,0),"⚠️未找到"))</f>
        <v/>
      </c>
      <c r="D174" s="21">
        <f>IF(B174="","",IFERROR(VLOOKUP(B174,'📦产品库'!$B$4:$E$9999,4,0),""))</f>
        <v/>
      </c>
      <c r="E174" s="21">
        <f>IF(B174="","",IFERROR(VLOOKUP(B174,'📦产品库'!$B$4:$F$9999,5,0),""))</f>
        <v/>
      </c>
      <c r="F174" s="22">
        <f>IF(B174="","",IFERROR(VLOOKUP(B174,'📦产品库'!$B$4:$G$9999,6,0),""))</f>
        <v/>
      </c>
      <c r="G174" s="16" t="n"/>
      <c r="H174" s="23">
        <f>IF(B174="","",1)</f>
        <v/>
      </c>
      <c r="I174" s="17">
        <f>IF(B174="","",IF(G174&lt;&gt;"",G174*H174,F174*H174))</f>
        <v/>
      </c>
      <c r="J174" s="24" t="n"/>
      <c r="K174" s="18">
        <f>IF(B174="","",IF(G174&gt;=2000,20,IF(G174&gt;=1000,10,0)))</f>
        <v/>
      </c>
      <c r="L174" s="27" t="n"/>
    </row>
    <row r="175" ht="18" customHeight="1">
      <c r="A175" s="19">
        <f>IF(B175="","",ROW()-4)</f>
        <v/>
      </c>
      <c r="B175" s="15" t="n"/>
      <c r="C175" s="20">
        <f>IF(B175="","",IFERROR(VLOOKUP(B175,'📦产品库'!$B$4:$D$9999,2,0),"⚠️未找到"))</f>
        <v/>
      </c>
      <c r="D175" s="21">
        <f>IF(B175="","",IFERROR(VLOOKUP(B175,'📦产品库'!$B$4:$E$9999,4,0),""))</f>
        <v/>
      </c>
      <c r="E175" s="21">
        <f>IF(B175="","",IFERROR(VLOOKUP(B175,'📦产品库'!$B$4:$F$9999,5,0),""))</f>
        <v/>
      </c>
      <c r="F175" s="22">
        <f>IF(B175="","",IFERROR(VLOOKUP(B175,'📦产品库'!$B$4:$G$9999,6,0),""))</f>
        <v/>
      </c>
      <c r="G175" s="16" t="n"/>
      <c r="H175" s="23">
        <f>IF(B175="","",1)</f>
        <v/>
      </c>
      <c r="I175" s="17">
        <f>IF(B175="","",IF(G175&lt;&gt;"",G175*H175,F175*H175))</f>
        <v/>
      </c>
      <c r="J175" s="24" t="n"/>
      <c r="K175" s="18">
        <f>IF(B175="","",IF(G175&gt;=2000,20,IF(G175&gt;=1000,10,0)))</f>
        <v/>
      </c>
      <c r="L175" s="25" t="n"/>
    </row>
    <row r="176" ht="18" customHeight="1">
      <c r="A176" s="26">
        <f>IF(B176="","",ROW()-4)</f>
        <v/>
      </c>
      <c r="B176" s="15" t="n"/>
      <c r="C176" s="20">
        <f>IF(B176="","",IFERROR(VLOOKUP(B176,'📦产品库'!$B$4:$D$9999,2,0),"⚠️未找到"))</f>
        <v/>
      </c>
      <c r="D176" s="21">
        <f>IF(B176="","",IFERROR(VLOOKUP(B176,'📦产品库'!$B$4:$E$9999,4,0),""))</f>
        <v/>
      </c>
      <c r="E176" s="21">
        <f>IF(B176="","",IFERROR(VLOOKUP(B176,'📦产品库'!$B$4:$F$9999,5,0),""))</f>
        <v/>
      </c>
      <c r="F176" s="22">
        <f>IF(B176="","",IFERROR(VLOOKUP(B176,'📦产品库'!$B$4:$G$9999,6,0),""))</f>
        <v/>
      </c>
      <c r="G176" s="16" t="n"/>
      <c r="H176" s="23">
        <f>IF(B176="","",1)</f>
        <v/>
      </c>
      <c r="I176" s="17">
        <f>IF(B176="","",IF(G176&lt;&gt;"",G176*H176,F176*H176))</f>
        <v/>
      </c>
      <c r="J176" s="24" t="n"/>
      <c r="K176" s="18">
        <f>IF(B176="","",IF(G176&gt;=2000,20,IF(G176&gt;=1000,10,0)))</f>
        <v/>
      </c>
      <c r="L176" s="27" t="n"/>
    </row>
    <row r="177" ht="18" customHeight="1">
      <c r="A177" s="19">
        <f>IF(B177="","",ROW()-4)</f>
        <v/>
      </c>
      <c r="B177" s="15" t="n"/>
      <c r="C177" s="20">
        <f>IF(B177="","",IFERROR(VLOOKUP(B177,'📦产品库'!$B$4:$D$9999,2,0),"⚠️未找到"))</f>
        <v/>
      </c>
      <c r="D177" s="21">
        <f>IF(B177="","",IFERROR(VLOOKUP(B177,'📦产品库'!$B$4:$E$9999,4,0),""))</f>
        <v/>
      </c>
      <c r="E177" s="21">
        <f>IF(B177="","",IFERROR(VLOOKUP(B177,'📦产品库'!$B$4:$F$9999,5,0),""))</f>
        <v/>
      </c>
      <c r="F177" s="22">
        <f>IF(B177="","",IFERROR(VLOOKUP(B177,'📦产品库'!$B$4:$G$9999,6,0),""))</f>
        <v/>
      </c>
      <c r="G177" s="16" t="n"/>
      <c r="H177" s="23">
        <f>IF(B177="","",1)</f>
        <v/>
      </c>
      <c r="I177" s="17">
        <f>IF(B177="","",IF(G177&lt;&gt;"",G177*H177,F177*H177))</f>
        <v/>
      </c>
      <c r="J177" s="24" t="n"/>
      <c r="K177" s="18">
        <f>IF(B177="","",IF(G177&gt;=2000,20,IF(G177&gt;=1000,10,0)))</f>
        <v/>
      </c>
      <c r="L177" s="25" t="n"/>
    </row>
    <row r="178" ht="18" customHeight="1">
      <c r="A178" s="26">
        <f>IF(B178="","",ROW()-4)</f>
        <v/>
      </c>
      <c r="B178" s="15" t="n"/>
      <c r="C178" s="20">
        <f>IF(B178="","",IFERROR(VLOOKUP(B178,'📦产品库'!$B$4:$D$9999,2,0),"⚠️未找到"))</f>
        <v/>
      </c>
      <c r="D178" s="21">
        <f>IF(B178="","",IFERROR(VLOOKUP(B178,'📦产品库'!$B$4:$E$9999,4,0),""))</f>
        <v/>
      </c>
      <c r="E178" s="21">
        <f>IF(B178="","",IFERROR(VLOOKUP(B178,'📦产品库'!$B$4:$F$9999,5,0),""))</f>
        <v/>
      </c>
      <c r="F178" s="22">
        <f>IF(B178="","",IFERROR(VLOOKUP(B178,'📦产品库'!$B$4:$G$9999,6,0),""))</f>
        <v/>
      </c>
      <c r="G178" s="16" t="n"/>
      <c r="H178" s="23">
        <f>IF(B178="","",1)</f>
        <v/>
      </c>
      <c r="I178" s="17">
        <f>IF(B178="","",IF(G178&lt;&gt;"",G178*H178,F178*H178))</f>
        <v/>
      </c>
      <c r="J178" s="24" t="n"/>
      <c r="K178" s="18">
        <f>IF(B178="","",IF(G178&gt;=2000,20,IF(G178&gt;=1000,10,0)))</f>
        <v/>
      </c>
      <c r="L178" s="27" t="n"/>
    </row>
    <row r="179" ht="18" customHeight="1">
      <c r="A179" s="19">
        <f>IF(B179="","",ROW()-4)</f>
        <v/>
      </c>
      <c r="B179" s="15" t="n"/>
      <c r="C179" s="20">
        <f>IF(B179="","",IFERROR(VLOOKUP(B179,'📦产品库'!$B$4:$D$9999,2,0),"⚠️未找到"))</f>
        <v/>
      </c>
      <c r="D179" s="21">
        <f>IF(B179="","",IFERROR(VLOOKUP(B179,'📦产品库'!$B$4:$E$9999,4,0),""))</f>
        <v/>
      </c>
      <c r="E179" s="21">
        <f>IF(B179="","",IFERROR(VLOOKUP(B179,'📦产品库'!$B$4:$F$9999,5,0),""))</f>
        <v/>
      </c>
      <c r="F179" s="22">
        <f>IF(B179="","",IFERROR(VLOOKUP(B179,'📦产品库'!$B$4:$G$9999,6,0),""))</f>
        <v/>
      </c>
      <c r="G179" s="16" t="n"/>
      <c r="H179" s="23">
        <f>IF(B179="","",1)</f>
        <v/>
      </c>
      <c r="I179" s="17">
        <f>IF(B179="","",IF(G179&lt;&gt;"",G179*H179,F179*H179))</f>
        <v/>
      </c>
      <c r="J179" s="24" t="n"/>
      <c r="K179" s="18">
        <f>IF(B179="","",IF(G179&gt;=2000,20,IF(G179&gt;=1000,10,0)))</f>
        <v/>
      </c>
      <c r="L179" s="25" t="n"/>
    </row>
    <row r="180" ht="18" customHeight="1">
      <c r="A180" s="26">
        <f>IF(B180="","",ROW()-4)</f>
        <v/>
      </c>
      <c r="B180" s="15" t="n"/>
      <c r="C180" s="20">
        <f>IF(B180="","",IFERROR(VLOOKUP(B180,'📦产品库'!$B$4:$D$9999,2,0),"⚠️未找到"))</f>
        <v/>
      </c>
      <c r="D180" s="21">
        <f>IF(B180="","",IFERROR(VLOOKUP(B180,'📦产品库'!$B$4:$E$9999,4,0),""))</f>
        <v/>
      </c>
      <c r="E180" s="21">
        <f>IF(B180="","",IFERROR(VLOOKUP(B180,'📦产品库'!$B$4:$F$9999,5,0),""))</f>
        <v/>
      </c>
      <c r="F180" s="22">
        <f>IF(B180="","",IFERROR(VLOOKUP(B180,'📦产品库'!$B$4:$G$9999,6,0),""))</f>
        <v/>
      </c>
      <c r="G180" s="16" t="n"/>
      <c r="H180" s="23">
        <f>IF(B180="","",1)</f>
        <v/>
      </c>
      <c r="I180" s="17">
        <f>IF(B180="","",IF(G180&lt;&gt;"",G180*H180,F180*H180))</f>
        <v/>
      </c>
      <c r="J180" s="24" t="n"/>
      <c r="K180" s="18">
        <f>IF(B180="","",IF(G180&gt;=2000,20,IF(G180&gt;=1000,10,0)))</f>
        <v/>
      </c>
      <c r="L180" s="27" t="n"/>
    </row>
    <row r="181" ht="18" customHeight="1">
      <c r="A181" s="19">
        <f>IF(B181="","",ROW()-4)</f>
        <v/>
      </c>
      <c r="B181" s="15" t="n"/>
      <c r="C181" s="20">
        <f>IF(B181="","",IFERROR(VLOOKUP(B181,'📦产品库'!$B$4:$D$9999,2,0),"⚠️未找到"))</f>
        <v/>
      </c>
      <c r="D181" s="21">
        <f>IF(B181="","",IFERROR(VLOOKUP(B181,'📦产品库'!$B$4:$E$9999,4,0),""))</f>
        <v/>
      </c>
      <c r="E181" s="21">
        <f>IF(B181="","",IFERROR(VLOOKUP(B181,'📦产品库'!$B$4:$F$9999,5,0),""))</f>
        <v/>
      </c>
      <c r="F181" s="22">
        <f>IF(B181="","",IFERROR(VLOOKUP(B181,'📦产品库'!$B$4:$G$9999,6,0),""))</f>
        <v/>
      </c>
      <c r="G181" s="16" t="n"/>
      <c r="H181" s="23">
        <f>IF(B181="","",1)</f>
        <v/>
      </c>
      <c r="I181" s="17">
        <f>IF(B181="","",IF(G181&lt;&gt;"",G181*H181,F181*H181))</f>
        <v/>
      </c>
      <c r="J181" s="24" t="n"/>
      <c r="K181" s="18">
        <f>IF(B181="","",IF(G181&gt;=2000,20,IF(G181&gt;=1000,10,0)))</f>
        <v/>
      </c>
      <c r="L181" s="25" t="n"/>
    </row>
    <row r="182" ht="18" customHeight="1">
      <c r="A182" s="26">
        <f>IF(B182="","",ROW()-4)</f>
        <v/>
      </c>
      <c r="B182" s="15" t="n"/>
      <c r="C182" s="20">
        <f>IF(B182="","",IFERROR(VLOOKUP(B182,'📦产品库'!$B$4:$D$9999,2,0),"⚠️未找到"))</f>
        <v/>
      </c>
      <c r="D182" s="21">
        <f>IF(B182="","",IFERROR(VLOOKUP(B182,'📦产品库'!$B$4:$E$9999,4,0),""))</f>
        <v/>
      </c>
      <c r="E182" s="21">
        <f>IF(B182="","",IFERROR(VLOOKUP(B182,'📦产品库'!$B$4:$F$9999,5,0),""))</f>
        <v/>
      </c>
      <c r="F182" s="22">
        <f>IF(B182="","",IFERROR(VLOOKUP(B182,'📦产品库'!$B$4:$G$9999,6,0),""))</f>
        <v/>
      </c>
      <c r="G182" s="16" t="n"/>
      <c r="H182" s="23">
        <f>IF(B182="","",1)</f>
        <v/>
      </c>
      <c r="I182" s="17">
        <f>IF(B182="","",IF(G182&lt;&gt;"",G182*H182,F182*H182))</f>
        <v/>
      </c>
      <c r="J182" s="24" t="n"/>
      <c r="K182" s="18">
        <f>IF(B182="","",IF(G182&gt;=2000,20,IF(G182&gt;=1000,10,0)))</f>
        <v/>
      </c>
      <c r="L182" s="27" t="n"/>
    </row>
    <row r="183" ht="18" customHeight="1">
      <c r="A183" s="19">
        <f>IF(B183="","",ROW()-4)</f>
        <v/>
      </c>
      <c r="B183" s="15" t="n"/>
      <c r="C183" s="20">
        <f>IF(B183="","",IFERROR(VLOOKUP(B183,'📦产品库'!$B$4:$D$9999,2,0),"⚠️未找到"))</f>
        <v/>
      </c>
      <c r="D183" s="21">
        <f>IF(B183="","",IFERROR(VLOOKUP(B183,'📦产品库'!$B$4:$E$9999,4,0),""))</f>
        <v/>
      </c>
      <c r="E183" s="21">
        <f>IF(B183="","",IFERROR(VLOOKUP(B183,'📦产品库'!$B$4:$F$9999,5,0),""))</f>
        <v/>
      </c>
      <c r="F183" s="22">
        <f>IF(B183="","",IFERROR(VLOOKUP(B183,'📦产品库'!$B$4:$G$9999,6,0),""))</f>
        <v/>
      </c>
      <c r="G183" s="16" t="n"/>
      <c r="H183" s="23">
        <f>IF(B183="","",1)</f>
        <v/>
      </c>
      <c r="I183" s="17">
        <f>IF(B183="","",IF(G183&lt;&gt;"",G183*H183,F183*H183))</f>
        <v/>
      </c>
      <c r="J183" s="24" t="n"/>
      <c r="K183" s="18">
        <f>IF(B183="","",IF(G183&gt;=2000,20,IF(G183&gt;=1000,10,0)))</f>
        <v/>
      </c>
      <c r="L183" s="25" t="n"/>
    </row>
    <row r="184" ht="18" customHeight="1">
      <c r="A184" s="26">
        <f>IF(B184="","",ROW()-4)</f>
        <v/>
      </c>
      <c r="B184" s="15" t="n"/>
      <c r="C184" s="20">
        <f>IF(B184="","",IFERROR(VLOOKUP(B184,'📦产品库'!$B$4:$D$9999,2,0),"⚠️未找到"))</f>
        <v/>
      </c>
      <c r="D184" s="21">
        <f>IF(B184="","",IFERROR(VLOOKUP(B184,'📦产品库'!$B$4:$E$9999,4,0),""))</f>
        <v/>
      </c>
      <c r="E184" s="21">
        <f>IF(B184="","",IFERROR(VLOOKUP(B184,'📦产品库'!$B$4:$F$9999,5,0),""))</f>
        <v/>
      </c>
      <c r="F184" s="22">
        <f>IF(B184="","",IFERROR(VLOOKUP(B184,'📦产品库'!$B$4:$G$9999,6,0),""))</f>
        <v/>
      </c>
      <c r="G184" s="16" t="n"/>
      <c r="H184" s="23">
        <f>IF(B184="","",1)</f>
        <v/>
      </c>
      <c r="I184" s="17">
        <f>IF(B184="","",IF(G184&lt;&gt;"",G184*H184,F184*H184))</f>
        <v/>
      </c>
      <c r="J184" s="24" t="n"/>
      <c r="K184" s="18">
        <f>IF(B184="","",IF(G184&gt;=2000,20,IF(G184&gt;=1000,10,0)))</f>
        <v/>
      </c>
      <c r="L184" s="27" t="n"/>
    </row>
    <row r="185" ht="18" customHeight="1">
      <c r="A185" s="19">
        <f>IF(B185="","",ROW()-4)</f>
        <v/>
      </c>
      <c r="B185" s="15" t="n"/>
      <c r="C185" s="20">
        <f>IF(B185="","",IFERROR(VLOOKUP(B185,'📦产品库'!$B$4:$D$9999,2,0),"⚠️未找到"))</f>
        <v/>
      </c>
      <c r="D185" s="21">
        <f>IF(B185="","",IFERROR(VLOOKUP(B185,'📦产品库'!$B$4:$E$9999,4,0),""))</f>
        <v/>
      </c>
      <c r="E185" s="21">
        <f>IF(B185="","",IFERROR(VLOOKUP(B185,'📦产品库'!$B$4:$F$9999,5,0),""))</f>
        <v/>
      </c>
      <c r="F185" s="22">
        <f>IF(B185="","",IFERROR(VLOOKUP(B185,'📦产品库'!$B$4:$G$9999,6,0),""))</f>
        <v/>
      </c>
      <c r="G185" s="16" t="n"/>
      <c r="H185" s="23">
        <f>IF(B185="","",1)</f>
        <v/>
      </c>
      <c r="I185" s="17">
        <f>IF(B185="","",IF(G185&lt;&gt;"",G185*H185,F185*H185))</f>
        <v/>
      </c>
      <c r="J185" s="24" t="n"/>
      <c r="K185" s="18">
        <f>IF(B185="","",IF(G185&gt;=2000,20,IF(G185&gt;=1000,10,0)))</f>
        <v/>
      </c>
      <c r="L185" s="25" t="n"/>
    </row>
    <row r="186" ht="18" customHeight="1">
      <c r="A186" s="26">
        <f>IF(B186="","",ROW()-4)</f>
        <v/>
      </c>
      <c r="B186" s="15" t="n"/>
      <c r="C186" s="20">
        <f>IF(B186="","",IFERROR(VLOOKUP(B186,'📦产品库'!$B$4:$D$9999,2,0),"⚠️未找到"))</f>
        <v/>
      </c>
      <c r="D186" s="21">
        <f>IF(B186="","",IFERROR(VLOOKUP(B186,'📦产品库'!$B$4:$E$9999,4,0),""))</f>
        <v/>
      </c>
      <c r="E186" s="21">
        <f>IF(B186="","",IFERROR(VLOOKUP(B186,'📦产品库'!$B$4:$F$9999,5,0),""))</f>
        <v/>
      </c>
      <c r="F186" s="22">
        <f>IF(B186="","",IFERROR(VLOOKUP(B186,'📦产品库'!$B$4:$G$9999,6,0),""))</f>
        <v/>
      </c>
      <c r="G186" s="16" t="n"/>
      <c r="H186" s="23">
        <f>IF(B186="","",1)</f>
        <v/>
      </c>
      <c r="I186" s="17">
        <f>IF(B186="","",IF(G186&lt;&gt;"",G186*H186,F186*H186))</f>
        <v/>
      </c>
      <c r="J186" s="24" t="n"/>
      <c r="K186" s="18">
        <f>IF(B186="","",IF(G186&gt;=2000,20,IF(G186&gt;=1000,10,0)))</f>
        <v/>
      </c>
      <c r="L186" s="27" t="n"/>
    </row>
    <row r="187" ht="18" customHeight="1">
      <c r="A187" s="19">
        <f>IF(B187="","",ROW()-4)</f>
        <v/>
      </c>
      <c r="B187" s="15" t="n"/>
      <c r="C187" s="20">
        <f>IF(B187="","",IFERROR(VLOOKUP(B187,'📦产品库'!$B$4:$D$9999,2,0),"⚠️未找到"))</f>
        <v/>
      </c>
      <c r="D187" s="21">
        <f>IF(B187="","",IFERROR(VLOOKUP(B187,'📦产品库'!$B$4:$E$9999,4,0),""))</f>
        <v/>
      </c>
      <c r="E187" s="21">
        <f>IF(B187="","",IFERROR(VLOOKUP(B187,'📦产品库'!$B$4:$F$9999,5,0),""))</f>
        <v/>
      </c>
      <c r="F187" s="22">
        <f>IF(B187="","",IFERROR(VLOOKUP(B187,'📦产品库'!$B$4:$G$9999,6,0),""))</f>
        <v/>
      </c>
      <c r="G187" s="16" t="n"/>
      <c r="H187" s="23">
        <f>IF(B187="","",1)</f>
        <v/>
      </c>
      <c r="I187" s="17">
        <f>IF(B187="","",IF(G187&lt;&gt;"",G187*H187,F187*H187))</f>
        <v/>
      </c>
      <c r="J187" s="24" t="n"/>
      <c r="K187" s="18">
        <f>IF(B187="","",IF(G187&gt;=2000,20,IF(G187&gt;=1000,10,0)))</f>
        <v/>
      </c>
      <c r="L187" s="25" t="n"/>
    </row>
    <row r="188" ht="18" customHeight="1">
      <c r="A188" s="26">
        <f>IF(B188="","",ROW()-4)</f>
        <v/>
      </c>
      <c r="B188" s="15" t="n"/>
      <c r="C188" s="20">
        <f>IF(B188="","",IFERROR(VLOOKUP(B188,'📦产品库'!$B$4:$D$9999,2,0),"⚠️未找到"))</f>
        <v/>
      </c>
      <c r="D188" s="21">
        <f>IF(B188="","",IFERROR(VLOOKUP(B188,'📦产品库'!$B$4:$E$9999,4,0),""))</f>
        <v/>
      </c>
      <c r="E188" s="21">
        <f>IF(B188="","",IFERROR(VLOOKUP(B188,'📦产品库'!$B$4:$F$9999,5,0),""))</f>
        <v/>
      </c>
      <c r="F188" s="22">
        <f>IF(B188="","",IFERROR(VLOOKUP(B188,'📦产品库'!$B$4:$G$9999,6,0),""))</f>
        <v/>
      </c>
      <c r="G188" s="16" t="n"/>
      <c r="H188" s="23">
        <f>IF(B188="","",1)</f>
        <v/>
      </c>
      <c r="I188" s="17">
        <f>IF(B188="","",IF(G188&lt;&gt;"",G188*H188,F188*H188))</f>
        <v/>
      </c>
      <c r="J188" s="24" t="n"/>
      <c r="K188" s="18">
        <f>IF(B188="","",IF(G188&gt;=2000,20,IF(G188&gt;=1000,10,0)))</f>
        <v/>
      </c>
      <c r="L188" s="27" t="n"/>
    </row>
    <row r="189" ht="18" customHeight="1">
      <c r="A189" s="19">
        <f>IF(B189="","",ROW()-4)</f>
        <v/>
      </c>
      <c r="B189" s="15" t="n"/>
      <c r="C189" s="20">
        <f>IF(B189="","",IFERROR(VLOOKUP(B189,'📦产品库'!$B$4:$D$9999,2,0),"⚠️未找到"))</f>
        <v/>
      </c>
      <c r="D189" s="21">
        <f>IF(B189="","",IFERROR(VLOOKUP(B189,'📦产品库'!$B$4:$E$9999,4,0),""))</f>
        <v/>
      </c>
      <c r="E189" s="21">
        <f>IF(B189="","",IFERROR(VLOOKUP(B189,'📦产品库'!$B$4:$F$9999,5,0),""))</f>
        <v/>
      </c>
      <c r="F189" s="22">
        <f>IF(B189="","",IFERROR(VLOOKUP(B189,'📦产品库'!$B$4:$G$9999,6,0),""))</f>
        <v/>
      </c>
      <c r="G189" s="16" t="n"/>
      <c r="H189" s="23">
        <f>IF(B189="","",1)</f>
        <v/>
      </c>
      <c r="I189" s="17">
        <f>IF(B189="","",IF(G189&lt;&gt;"",G189*H189,F189*H189))</f>
        <v/>
      </c>
      <c r="J189" s="24" t="n"/>
      <c r="K189" s="18">
        <f>IF(B189="","",IF(G189&gt;=2000,20,IF(G189&gt;=1000,10,0)))</f>
        <v/>
      </c>
      <c r="L189" s="25" t="n"/>
    </row>
    <row r="190" ht="18" customHeight="1">
      <c r="A190" s="26">
        <f>IF(B190="","",ROW()-4)</f>
        <v/>
      </c>
      <c r="B190" s="15" t="n"/>
      <c r="C190" s="20">
        <f>IF(B190="","",IFERROR(VLOOKUP(B190,'📦产品库'!$B$4:$D$9999,2,0),"⚠️未找到"))</f>
        <v/>
      </c>
      <c r="D190" s="21">
        <f>IF(B190="","",IFERROR(VLOOKUP(B190,'📦产品库'!$B$4:$E$9999,4,0),""))</f>
        <v/>
      </c>
      <c r="E190" s="21">
        <f>IF(B190="","",IFERROR(VLOOKUP(B190,'📦产品库'!$B$4:$F$9999,5,0),""))</f>
        <v/>
      </c>
      <c r="F190" s="22">
        <f>IF(B190="","",IFERROR(VLOOKUP(B190,'📦产品库'!$B$4:$G$9999,6,0),""))</f>
        <v/>
      </c>
      <c r="G190" s="16" t="n"/>
      <c r="H190" s="23">
        <f>IF(B190="","",1)</f>
        <v/>
      </c>
      <c r="I190" s="17">
        <f>IF(B190="","",IF(G190&lt;&gt;"",G190*H190,F190*H190))</f>
        <v/>
      </c>
      <c r="J190" s="24" t="n"/>
      <c r="K190" s="18">
        <f>IF(B190="","",IF(G190&gt;=2000,20,IF(G190&gt;=1000,10,0)))</f>
        <v/>
      </c>
      <c r="L190" s="27" t="n"/>
    </row>
    <row r="191" ht="18" customHeight="1">
      <c r="A191" s="19">
        <f>IF(B191="","",ROW()-4)</f>
        <v/>
      </c>
      <c r="B191" s="15" t="n"/>
      <c r="C191" s="20">
        <f>IF(B191="","",IFERROR(VLOOKUP(B191,'📦产品库'!$B$4:$D$9999,2,0),"⚠️未找到"))</f>
        <v/>
      </c>
      <c r="D191" s="21">
        <f>IF(B191="","",IFERROR(VLOOKUP(B191,'📦产品库'!$B$4:$E$9999,4,0),""))</f>
        <v/>
      </c>
      <c r="E191" s="21">
        <f>IF(B191="","",IFERROR(VLOOKUP(B191,'📦产品库'!$B$4:$F$9999,5,0),""))</f>
        <v/>
      </c>
      <c r="F191" s="22">
        <f>IF(B191="","",IFERROR(VLOOKUP(B191,'📦产品库'!$B$4:$G$9999,6,0),""))</f>
        <v/>
      </c>
      <c r="G191" s="16" t="n"/>
      <c r="H191" s="23">
        <f>IF(B191="","",1)</f>
        <v/>
      </c>
      <c r="I191" s="17">
        <f>IF(B191="","",IF(G191&lt;&gt;"",G191*H191,F191*H191))</f>
        <v/>
      </c>
      <c r="J191" s="24" t="n"/>
      <c r="K191" s="18">
        <f>IF(B191="","",IF(G191&gt;=2000,20,IF(G191&gt;=1000,10,0)))</f>
        <v/>
      </c>
      <c r="L191" s="25" t="n"/>
    </row>
    <row r="192" ht="18" customHeight="1">
      <c r="A192" s="26">
        <f>IF(B192="","",ROW()-4)</f>
        <v/>
      </c>
      <c r="B192" s="15" t="n"/>
      <c r="C192" s="20">
        <f>IF(B192="","",IFERROR(VLOOKUP(B192,'📦产品库'!$B$4:$D$9999,2,0),"⚠️未找到"))</f>
        <v/>
      </c>
      <c r="D192" s="21">
        <f>IF(B192="","",IFERROR(VLOOKUP(B192,'📦产品库'!$B$4:$E$9999,4,0),""))</f>
        <v/>
      </c>
      <c r="E192" s="21">
        <f>IF(B192="","",IFERROR(VLOOKUP(B192,'📦产品库'!$B$4:$F$9999,5,0),""))</f>
        <v/>
      </c>
      <c r="F192" s="22">
        <f>IF(B192="","",IFERROR(VLOOKUP(B192,'📦产品库'!$B$4:$G$9999,6,0),""))</f>
        <v/>
      </c>
      <c r="G192" s="16" t="n"/>
      <c r="H192" s="23">
        <f>IF(B192="","",1)</f>
        <v/>
      </c>
      <c r="I192" s="17">
        <f>IF(B192="","",IF(G192&lt;&gt;"",G192*H192,F192*H192))</f>
        <v/>
      </c>
      <c r="J192" s="24" t="n"/>
      <c r="K192" s="18">
        <f>IF(B192="","",IF(G192&gt;=2000,20,IF(G192&gt;=1000,10,0)))</f>
        <v/>
      </c>
      <c r="L192" s="27" t="n"/>
    </row>
    <row r="193" ht="18" customHeight="1">
      <c r="A193" s="19">
        <f>IF(B193="","",ROW()-4)</f>
        <v/>
      </c>
      <c r="B193" s="15" t="n"/>
      <c r="C193" s="20">
        <f>IF(B193="","",IFERROR(VLOOKUP(B193,'📦产品库'!$B$4:$D$9999,2,0),"⚠️未找到"))</f>
        <v/>
      </c>
      <c r="D193" s="21">
        <f>IF(B193="","",IFERROR(VLOOKUP(B193,'📦产品库'!$B$4:$E$9999,4,0),""))</f>
        <v/>
      </c>
      <c r="E193" s="21">
        <f>IF(B193="","",IFERROR(VLOOKUP(B193,'📦产品库'!$B$4:$F$9999,5,0),""))</f>
        <v/>
      </c>
      <c r="F193" s="22">
        <f>IF(B193="","",IFERROR(VLOOKUP(B193,'📦产品库'!$B$4:$G$9999,6,0),""))</f>
        <v/>
      </c>
      <c r="G193" s="16" t="n"/>
      <c r="H193" s="23">
        <f>IF(B193="","",1)</f>
        <v/>
      </c>
      <c r="I193" s="17">
        <f>IF(B193="","",IF(G193&lt;&gt;"",G193*H193,F193*H193))</f>
        <v/>
      </c>
      <c r="J193" s="24" t="n"/>
      <c r="K193" s="18">
        <f>IF(B193="","",IF(G193&gt;=2000,20,IF(G193&gt;=1000,10,0)))</f>
        <v/>
      </c>
      <c r="L193" s="25" t="n"/>
    </row>
    <row r="194" ht="18" customHeight="1">
      <c r="A194" s="26">
        <f>IF(B194="","",ROW()-4)</f>
        <v/>
      </c>
      <c r="B194" s="15" t="n"/>
      <c r="C194" s="20">
        <f>IF(B194="","",IFERROR(VLOOKUP(B194,'📦产品库'!$B$4:$D$9999,2,0),"⚠️未找到"))</f>
        <v/>
      </c>
      <c r="D194" s="21">
        <f>IF(B194="","",IFERROR(VLOOKUP(B194,'📦产品库'!$B$4:$E$9999,4,0),""))</f>
        <v/>
      </c>
      <c r="E194" s="21">
        <f>IF(B194="","",IFERROR(VLOOKUP(B194,'📦产品库'!$B$4:$F$9999,5,0),""))</f>
        <v/>
      </c>
      <c r="F194" s="22">
        <f>IF(B194="","",IFERROR(VLOOKUP(B194,'📦产品库'!$B$4:$G$9999,6,0),""))</f>
        <v/>
      </c>
      <c r="G194" s="16" t="n"/>
      <c r="H194" s="23">
        <f>IF(B194="","",1)</f>
        <v/>
      </c>
      <c r="I194" s="17">
        <f>IF(B194="","",IF(G194&lt;&gt;"",G194*H194,F194*H194))</f>
        <v/>
      </c>
      <c r="J194" s="24" t="n"/>
      <c r="K194" s="18">
        <f>IF(B194="","",IF(G194&gt;=2000,20,IF(G194&gt;=1000,10,0)))</f>
        <v/>
      </c>
      <c r="L194" s="27" t="n"/>
    </row>
    <row r="195" ht="18" customHeight="1">
      <c r="A195" s="19">
        <f>IF(B195="","",ROW()-4)</f>
        <v/>
      </c>
      <c r="B195" s="15" t="n"/>
      <c r="C195" s="20">
        <f>IF(B195="","",IFERROR(VLOOKUP(B195,'📦产品库'!$B$4:$D$9999,2,0),"⚠️未找到"))</f>
        <v/>
      </c>
      <c r="D195" s="21">
        <f>IF(B195="","",IFERROR(VLOOKUP(B195,'📦产品库'!$B$4:$E$9999,4,0),""))</f>
        <v/>
      </c>
      <c r="E195" s="21">
        <f>IF(B195="","",IFERROR(VLOOKUP(B195,'📦产品库'!$B$4:$F$9999,5,0),""))</f>
        <v/>
      </c>
      <c r="F195" s="22">
        <f>IF(B195="","",IFERROR(VLOOKUP(B195,'📦产品库'!$B$4:$G$9999,6,0),""))</f>
        <v/>
      </c>
      <c r="G195" s="16" t="n"/>
      <c r="H195" s="23">
        <f>IF(B195="","",1)</f>
        <v/>
      </c>
      <c r="I195" s="17">
        <f>IF(B195="","",IF(G195&lt;&gt;"",G195*H195,F195*H195))</f>
        <v/>
      </c>
      <c r="J195" s="24" t="n"/>
      <c r="K195" s="18">
        <f>IF(B195="","",IF(G195&gt;=2000,20,IF(G195&gt;=1000,10,0)))</f>
        <v/>
      </c>
      <c r="L195" s="25" t="n"/>
    </row>
    <row r="196" ht="18" customHeight="1">
      <c r="A196" s="26">
        <f>IF(B196="","",ROW()-4)</f>
        <v/>
      </c>
      <c r="B196" s="15" t="n"/>
      <c r="C196" s="20">
        <f>IF(B196="","",IFERROR(VLOOKUP(B196,'📦产品库'!$B$4:$D$9999,2,0),"⚠️未找到"))</f>
        <v/>
      </c>
      <c r="D196" s="21">
        <f>IF(B196="","",IFERROR(VLOOKUP(B196,'📦产品库'!$B$4:$E$9999,4,0),""))</f>
        <v/>
      </c>
      <c r="E196" s="21">
        <f>IF(B196="","",IFERROR(VLOOKUP(B196,'📦产品库'!$B$4:$F$9999,5,0),""))</f>
        <v/>
      </c>
      <c r="F196" s="22">
        <f>IF(B196="","",IFERROR(VLOOKUP(B196,'📦产品库'!$B$4:$G$9999,6,0),""))</f>
        <v/>
      </c>
      <c r="G196" s="16" t="n"/>
      <c r="H196" s="23">
        <f>IF(B196="","",1)</f>
        <v/>
      </c>
      <c r="I196" s="17">
        <f>IF(B196="","",IF(G196&lt;&gt;"",G196*H196,F196*H196))</f>
        <v/>
      </c>
      <c r="J196" s="24" t="n"/>
      <c r="K196" s="18">
        <f>IF(B196="","",IF(G196&gt;=2000,20,IF(G196&gt;=1000,10,0)))</f>
        <v/>
      </c>
      <c r="L196" s="27" t="n"/>
    </row>
    <row r="197" ht="18" customHeight="1">
      <c r="A197" s="19">
        <f>IF(B197="","",ROW()-4)</f>
        <v/>
      </c>
      <c r="B197" s="15" t="n"/>
      <c r="C197" s="20">
        <f>IF(B197="","",IFERROR(VLOOKUP(B197,'📦产品库'!$B$4:$D$9999,2,0),"⚠️未找到"))</f>
        <v/>
      </c>
      <c r="D197" s="21">
        <f>IF(B197="","",IFERROR(VLOOKUP(B197,'📦产品库'!$B$4:$E$9999,4,0),""))</f>
        <v/>
      </c>
      <c r="E197" s="21">
        <f>IF(B197="","",IFERROR(VLOOKUP(B197,'📦产品库'!$B$4:$F$9999,5,0),""))</f>
        <v/>
      </c>
      <c r="F197" s="22">
        <f>IF(B197="","",IFERROR(VLOOKUP(B197,'📦产品库'!$B$4:$G$9999,6,0),""))</f>
        <v/>
      </c>
      <c r="G197" s="16" t="n"/>
      <c r="H197" s="23">
        <f>IF(B197="","",1)</f>
        <v/>
      </c>
      <c r="I197" s="17">
        <f>IF(B197="","",IF(G197&lt;&gt;"",G197*H197,F197*H197))</f>
        <v/>
      </c>
      <c r="J197" s="24" t="n"/>
      <c r="K197" s="18">
        <f>IF(B197="","",IF(G197&gt;=2000,20,IF(G197&gt;=1000,10,0)))</f>
        <v/>
      </c>
      <c r="L197" s="25" t="n"/>
    </row>
    <row r="198" ht="18" customHeight="1">
      <c r="A198" s="26">
        <f>IF(B198="","",ROW()-4)</f>
        <v/>
      </c>
      <c r="B198" s="15" t="n"/>
      <c r="C198" s="20">
        <f>IF(B198="","",IFERROR(VLOOKUP(B198,'📦产品库'!$B$4:$D$9999,2,0),"⚠️未找到"))</f>
        <v/>
      </c>
      <c r="D198" s="21">
        <f>IF(B198="","",IFERROR(VLOOKUP(B198,'📦产品库'!$B$4:$E$9999,4,0),""))</f>
        <v/>
      </c>
      <c r="E198" s="21">
        <f>IF(B198="","",IFERROR(VLOOKUP(B198,'📦产品库'!$B$4:$F$9999,5,0),""))</f>
        <v/>
      </c>
      <c r="F198" s="22">
        <f>IF(B198="","",IFERROR(VLOOKUP(B198,'📦产品库'!$B$4:$G$9999,6,0),""))</f>
        <v/>
      </c>
      <c r="G198" s="16" t="n"/>
      <c r="H198" s="23">
        <f>IF(B198="","",1)</f>
        <v/>
      </c>
      <c r="I198" s="17">
        <f>IF(B198="","",IF(G198&lt;&gt;"",G198*H198,F198*H198))</f>
        <v/>
      </c>
      <c r="J198" s="24" t="n"/>
      <c r="K198" s="18">
        <f>IF(B198="","",IF(G198&gt;=2000,20,IF(G198&gt;=1000,10,0)))</f>
        <v/>
      </c>
      <c r="L198" s="27" t="n"/>
    </row>
    <row r="199" ht="18" customHeight="1">
      <c r="A199" s="19">
        <f>IF(B199="","",ROW()-4)</f>
        <v/>
      </c>
      <c r="B199" s="15" t="n"/>
      <c r="C199" s="20">
        <f>IF(B199="","",IFERROR(VLOOKUP(B199,'📦产品库'!$B$4:$D$9999,2,0),"⚠️未找到"))</f>
        <v/>
      </c>
      <c r="D199" s="21">
        <f>IF(B199="","",IFERROR(VLOOKUP(B199,'📦产品库'!$B$4:$E$9999,4,0),""))</f>
        <v/>
      </c>
      <c r="E199" s="21">
        <f>IF(B199="","",IFERROR(VLOOKUP(B199,'📦产品库'!$B$4:$F$9999,5,0),""))</f>
        <v/>
      </c>
      <c r="F199" s="22">
        <f>IF(B199="","",IFERROR(VLOOKUP(B199,'📦产品库'!$B$4:$G$9999,6,0),""))</f>
        <v/>
      </c>
      <c r="G199" s="16" t="n"/>
      <c r="H199" s="23">
        <f>IF(B199="","",1)</f>
        <v/>
      </c>
      <c r="I199" s="17">
        <f>IF(B199="","",IF(G199&lt;&gt;"",G199*H199,F199*H199))</f>
        <v/>
      </c>
      <c r="J199" s="24" t="n"/>
      <c r="K199" s="18">
        <f>IF(B199="","",IF(G199&gt;=2000,20,IF(G199&gt;=1000,10,0)))</f>
        <v/>
      </c>
      <c r="L199" s="25" t="n"/>
    </row>
    <row r="200" ht="18" customHeight="1">
      <c r="A200" s="26">
        <f>IF(B200="","",ROW()-4)</f>
        <v/>
      </c>
      <c r="B200" s="15" t="n"/>
      <c r="C200" s="20">
        <f>IF(B200="","",IFERROR(VLOOKUP(B200,'📦产品库'!$B$4:$D$9999,2,0),"⚠️未找到"))</f>
        <v/>
      </c>
      <c r="D200" s="21">
        <f>IF(B200="","",IFERROR(VLOOKUP(B200,'📦产品库'!$B$4:$E$9999,4,0),""))</f>
        <v/>
      </c>
      <c r="E200" s="21">
        <f>IF(B200="","",IFERROR(VLOOKUP(B200,'📦产品库'!$B$4:$F$9999,5,0),""))</f>
        <v/>
      </c>
      <c r="F200" s="22">
        <f>IF(B200="","",IFERROR(VLOOKUP(B200,'📦产品库'!$B$4:$G$9999,6,0),""))</f>
        <v/>
      </c>
      <c r="G200" s="16" t="n"/>
      <c r="H200" s="23">
        <f>IF(B200="","",1)</f>
        <v/>
      </c>
      <c r="I200" s="17">
        <f>IF(B200="","",IF(G200&lt;&gt;"",G200*H200,F200*H200))</f>
        <v/>
      </c>
      <c r="J200" s="24" t="n"/>
      <c r="K200" s="18">
        <f>IF(B200="","",IF(G200&gt;=2000,20,IF(G200&gt;=1000,10,0)))</f>
        <v/>
      </c>
      <c r="L200" s="27" t="n"/>
    </row>
    <row r="201" ht="18" customHeight="1">
      <c r="A201" s="19">
        <f>IF(B201="","",ROW()-4)</f>
        <v/>
      </c>
      <c r="B201" s="15" t="n"/>
      <c r="C201" s="20">
        <f>IF(B201="","",IFERROR(VLOOKUP(B201,'📦产品库'!$B$4:$D$9999,2,0),"⚠️未找到"))</f>
        <v/>
      </c>
      <c r="D201" s="21">
        <f>IF(B201="","",IFERROR(VLOOKUP(B201,'📦产品库'!$B$4:$E$9999,4,0),""))</f>
        <v/>
      </c>
      <c r="E201" s="21">
        <f>IF(B201="","",IFERROR(VLOOKUP(B201,'📦产品库'!$B$4:$F$9999,5,0),""))</f>
        <v/>
      </c>
      <c r="F201" s="22">
        <f>IF(B201="","",IFERROR(VLOOKUP(B201,'📦产品库'!$B$4:$G$9999,6,0),""))</f>
        <v/>
      </c>
      <c r="G201" s="16" t="n"/>
      <c r="H201" s="23">
        <f>IF(B201="","",1)</f>
        <v/>
      </c>
      <c r="I201" s="17">
        <f>IF(B201="","",IF(G201&lt;&gt;"",G201*H201,F201*H201))</f>
        <v/>
      </c>
      <c r="J201" s="24" t="n"/>
      <c r="K201" s="18">
        <f>IF(B201="","",IF(G201&gt;=2000,20,IF(G201&gt;=1000,10,0)))</f>
        <v/>
      </c>
      <c r="L201" s="25" t="n"/>
    </row>
    <row r="202" ht="18" customHeight="1">
      <c r="A202" s="26">
        <f>IF(B202="","",ROW()-4)</f>
        <v/>
      </c>
      <c r="B202" s="15" t="n"/>
      <c r="C202" s="20">
        <f>IF(B202="","",IFERROR(VLOOKUP(B202,'📦产品库'!$B$4:$D$9999,2,0),"⚠️未找到"))</f>
        <v/>
      </c>
      <c r="D202" s="21">
        <f>IF(B202="","",IFERROR(VLOOKUP(B202,'📦产品库'!$B$4:$E$9999,4,0),""))</f>
        <v/>
      </c>
      <c r="E202" s="21">
        <f>IF(B202="","",IFERROR(VLOOKUP(B202,'📦产品库'!$B$4:$F$9999,5,0),""))</f>
        <v/>
      </c>
      <c r="F202" s="22">
        <f>IF(B202="","",IFERROR(VLOOKUP(B202,'📦产品库'!$B$4:$G$9999,6,0),""))</f>
        <v/>
      </c>
      <c r="G202" s="16" t="n"/>
      <c r="H202" s="23">
        <f>IF(B202="","",1)</f>
        <v/>
      </c>
      <c r="I202" s="17">
        <f>IF(B202="","",IF(G202&lt;&gt;"",G202*H202,F202*H202))</f>
        <v/>
      </c>
      <c r="J202" s="24" t="n"/>
      <c r="K202" s="18">
        <f>IF(B202="","",IF(G202&gt;=2000,20,IF(G202&gt;=1000,10,0)))</f>
        <v/>
      </c>
      <c r="L202" s="27" t="n"/>
    </row>
    <row r="203" ht="18" customHeight="1">
      <c r="A203" s="19">
        <f>IF(B203="","",ROW()-4)</f>
        <v/>
      </c>
      <c r="B203" s="15" t="n"/>
      <c r="C203" s="20">
        <f>IF(B203="","",IFERROR(VLOOKUP(B203,'📦产品库'!$B$4:$D$9999,2,0),"⚠️未找到"))</f>
        <v/>
      </c>
      <c r="D203" s="21">
        <f>IF(B203="","",IFERROR(VLOOKUP(B203,'📦产品库'!$B$4:$E$9999,4,0),""))</f>
        <v/>
      </c>
      <c r="E203" s="21">
        <f>IF(B203="","",IFERROR(VLOOKUP(B203,'📦产品库'!$B$4:$F$9999,5,0),""))</f>
        <v/>
      </c>
      <c r="F203" s="22">
        <f>IF(B203="","",IFERROR(VLOOKUP(B203,'📦产品库'!$B$4:$G$9999,6,0),""))</f>
        <v/>
      </c>
      <c r="G203" s="16" t="n"/>
      <c r="H203" s="23">
        <f>IF(B203="","",1)</f>
        <v/>
      </c>
      <c r="I203" s="17">
        <f>IF(B203="","",IF(G203&lt;&gt;"",G203*H203,F203*H203))</f>
        <v/>
      </c>
      <c r="J203" s="24" t="n"/>
      <c r="K203" s="18">
        <f>IF(B203="","",IF(G203&gt;=2000,20,IF(G203&gt;=1000,10,0)))</f>
        <v/>
      </c>
      <c r="L203" s="25" t="n"/>
    </row>
    <row r="204" ht="18" customHeight="1">
      <c r="A204" s="26">
        <f>IF(B204="","",ROW()-4)</f>
        <v/>
      </c>
      <c r="B204" s="15" t="n"/>
      <c r="C204" s="20">
        <f>IF(B204="","",IFERROR(VLOOKUP(B204,'📦产品库'!$B$4:$D$9999,2,0),"⚠️未找到"))</f>
        <v/>
      </c>
      <c r="D204" s="21">
        <f>IF(B204="","",IFERROR(VLOOKUP(B204,'📦产品库'!$B$4:$E$9999,4,0),""))</f>
        <v/>
      </c>
      <c r="E204" s="21">
        <f>IF(B204="","",IFERROR(VLOOKUP(B204,'📦产品库'!$B$4:$F$9999,5,0),""))</f>
        <v/>
      </c>
      <c r="F204" s="22">
        <f>IF(B204="","",IFERROR(VLOOKUP(B204,'📦产品库'!$B$4:$G$9999,6,0),""))</f>
        <v/>
      </c>
      <c r="G204" s="16" t="n"/>
      <c r="H204" s="23">
        <f>IF(B204="","",1)</f>
        <v/>
      </c>
      <c r="I204" s="17">
        <f>IF(B204="","",IF(G204&lt;&gt;"",G204*H204,F204*H204))</f>
        <v/>
      </c>
      <c r="J204" s="24" t="n"/>
      <c r="K204" s="18">
        <f>IF(B204="","",IF(G204&gt;=2000,20,IF(G204&gt;=1000,10,0)))</f>
        <v/>
      </c>
      <c r="L204" s="27" t="n"/>
    </row>
    <row r="205" ht="18" customHeight="1">
      <c r="A205" s="19">
        <f>IF(B205="","",ROW()-4)</f>
        <v/>
      </c>
      <c r="B205" s="15" t="n"/>
      <c r="C205" s="20">
        <f>IF(B205="","",IFERROR(VLOOKUP(B205,'📦产品库'!$B$4:$D$9999,2,0),"⚠️未找到"))</f>
        <v/>
      </c>
      <c r="D205" s="21">
        <f>IF(B205="","",IFERROR(VLOOKUP(B205,'📦产品库'!$B$4:$E$9999,4,0),""))</f>
        <v/>
      </c>
      <c r="E205" s="21">
        <f>IF(B205="","",IFERROR(VLOOKUP(B205,'📦产品库'!$B$4:$F$9999,5,0),""))</f>
        <v/>
      </c>
      <c r="F205" s="22">
        <f>IF(B205="","",IFERROR(VLOOKUP(B205,'📦产品库'!$B$4:$G$9999,6,0),""))</f>
        <v/>
      </c>
      <c r="G205" s="16" t="n"/>
      <c r="H205" s="23">
        <f>IF(B205="","",1)</f>
        <v/>
      </c>
      <c r="I205" s="17">
        <f>IF(B205="","",IF(G205&lt;&gt;"",G205*H205,F205*H205))</f>
        <v/>
      </c>
      <c r="J205" s="24" t="n"/>
      <c r="K205" s="18">
        <f>IF(B205="","",IF(G205&gt;=2000,20,IF(G205&gt;=1000,10,0)))</f>
        <v/>
      </c>
      <c r="L205" s="25" t="n"/>
    </row>
    <row r="206" ht="18" customHeight="1">
      <c r="A206" s="26">
        <f>IF(B206="","",ROW()-4)</f>
        <v/>
      </c>
      <c r="B206" s="15" t="n"/>
      <c r="C206" s="20">
        <f>IF(B206="","",IFERROR(VLOOKUP(B206,'📦产品库'!$B$4:$D$9999,2,0),"⚠️未找到"))</f>
        <v/>
      </c>
      <c r="D206" s="21">
        <f>IF(B206="","",IFERROR(VLOOKUP(B206,'📦产品库'!$B$4:$E$9999,4,0),""))</f>
        <v/>
      </c>
      <c r="E206" s="21">
        <f>IF(B206="","",IFERROR(VLOOKUP(B206,'📦产品库'!$B$4:$F$9999,5,0),""))</f>
        <v/>
      </c>
      <c r="F206" s="22">
        <f>IF(B206="","",IFERROR(VLOOKUP(B206,'📦产品库'!$B$4:$G$9999,6,0),""))</f>
        <v/>
      </c>
      <c r="G206" s="16" t="n"/>
      <c r="H206" s="23">
        <f>IF(B206="","",1)</f>
        <v/>
      </c>
      <c r="I206" s="17">
        <f>IF(B206="","",IF(G206&lt;&gt;"",G206*H206,F206*H206))</f>
        <v/>
      </c>
      <c r="J206" s="24" t="n"/>
      <c r="K206" s="18">
        <f>IF(B206="","",IF(G206&gt;=2000,20,IF(G206&gt;=1000,10,0)))</f>
        <v/>
      </c>
      <c r="L206" s="27" t="n"/>
    </row>
    <row r="207" ht="18" customHeight="1">
      <c r="A207" s="19">
        <f>IF(B207="","",ROW()-4)</f>
        <v/>
      </c>
      <c r="B207" s="15" t="n"/>
      <c r="C207" s="20">
        <f>IF(B207="","",IFERROR(VLOOKUP(B207,'📦产品库'!$B$4:$D$9999,2,0),"⚠️未找到"))</f>
        <v/>
      </c>
      <c r="D207" s="21">
        <f>IF(B207="","",IFERROR(VLOOKUP(B207,'📦产品库'!$B$4:$E$9999,4,0),""))</f>
        <v/>
      </c>
      <c r="E207" s="21">
        <f>IF(B207="","",IFERROR(VLOOKUP(B207,'📦产品库'!$B$4:$F$9999,5,0),""))</f>
        <v/>
      </c>
      <c r="F207" s="22">
        <f>IF(B207="","",IFERROR(VLOOKUP(B207,'📦产品库'!$B$4:$G$9999,6,0),""))</f>
        <v/>
      </c>
      <c r="G207" s="16" t="n"/>
      <c r="H207" s="23">
        <f>IF(B207="","",1)</f>
        <v/>
      </c>
      <c r="I207" s="17">
        <f>IF(B207="","",IF(G207&lt;&gt;"",G207*H207,F207*H207))</f>
        <v/>
      </c>
      <c r="J207" s="24" t="n"/>
      <c r="K207" s="18">
        <f>IF(B207="","",IF(G207&gt;=2000,20,IF(G207&gt;=1000,10,0)))</f>
        <v/>
      </c>
      <c r="L207" s="25" t="n"/>
    </row>
    <row r="208" ht="18" customHeight="1">
      <c r="A208" s="26">
        <f>IF(B208="","",ROW()-4)</f>
        <v/>
      </c>
      <c r="B208" s="15" t="n"/>
      <c r="C208" s="20">
        <f>IF(B208="","",IFERROR(VLOOKUP(B208,'📦产品库'!$B$4:$D$9999,2,0),"⚠️未找到"))</f>
        <v/>
      </c>
      <c r="D208" s="21">
        <f>IF(B208="","",IFERROR(VLOOKUP(B208,'📦产品库'!$B$4:$E$9999,4,0),""))</f>
        <v/>
      </c>
      <c r="E208" s="21">
        <f>IF(B208="","",IFERROR(VLOOKUP(B208,'📦产品库'!$B$4:$F$9999,5,0),""))</f>
        <v/>
      </c>
      <c r="F208" s="22">
        <f>IF(B208="","",IFERROR(VLOOKUP(B208,'📦产品库'!$B$4:$G$9999,6,0),""))</f>
        <v/>
      </c>
      <c r="G208" s="16" t="n"/>
      <c r="H208" s="23">
        <f>IF(B208="","",1)</f>
        <v/>
      </c>
      <c r="I208" s="17">
        <f>IF(B208="","",IF(G208&lt;&gt;"",G208*H208,F208*H208))</f>
        <v/>
      </c>
      <c r="J208" s="24" t="n"/>
      <c r="K208" s="18">
        <f>IF(B208="","",IF(G208&gt;=2000,20,IF(G208&gt;=1000,10,0)))</f>
        <v/>
      </c>
      <c r="L208" s="27" t="n"/>
    </row>
    <row r="209" ht="18" customHeight="1">
      <c r="A209" s="19">
        <f>IF(B209="","",ROW()-4)</f>
        <v/>
      </c>
      <c r="B209" s="15" t="n"/>
      <c r="C209" s="20">
        <f>IF(B209="","",IFERROR(VLOOKUP(B209,'📦产品库'!$B$4:$D$9999,2,0),"⚠️未找到"))</f>
        <v/>
      </c>
      <c r="D209" s="21">
        <f>IF(B209="","",IFERROR(VLOOKUP(B209,'📦产品库'!$B$4:$E$9999,4,0),""))</f>
        <v/>
      </c>
      <c r="E209" s="21">
        <f>IF(B209="","",IFERROR(VLOOKUP(B209,'📦产品库'!$B$4:$F$9999,5,0),""))</f>
        <v/>
      </c>
      <c r="F209" s="22">
        <f>IF(B209="","",IFERROR(VLOOKUP(B209,'📦产品库'!$B$4:$G$9999,6,0),""))</f>
        <v/>
      </c>
      <c r="G209" s="16" t="n"/>
      <c r="H209" s="23">
        <f>IF(B209="","",1)</f>
        <v/>
      </c>
      <c r="I209" s="17">
        <f>IF(B209="","",IF(G209&lt;&gt;"",G209*H209,F209*H209))</f>
        <v/>
      </c>
      <c r="J209" s="24" t="n"/>
      <c r="K209" s="18">
        <f>IF(B209="","",IF(G209&gt;=2000,20,IF(G209&gt;=1000,10,0)))</f>
        <v/>
      </c>
      <c r="L209" s="25" t="n"/>
    </row>
    <row r="210" ht="18" customHeight="1">
      <c r="A210" s="26">
        <f>IF(B210="","",ROW()-4)</f>
        <v/>
      </c>
      <c r="B210" s="15" t="n"/>
      <c r="C210" s="20">
        <f>IF(B210="","",IFERROR(VLOOKUP(B210,'📦产品库'!$B$4:$D$9999,2,0),"⚠️未找到"))</f>
        <v/>
      </c>
      <c r="D210" s="21">
        <f>IF(B210="","",IFERROR(VLOOKUP(B210,'📦产品库'!$B$4:$E$9999,4,0),""))</f>
        <v/>
      </c>
      <c r="E210" s="21">
        <f>IF(B210="","",IFERROR(VLOOKUP(B210,'📦产品库'!$B$4:$F$9999,5,0),""))</f>
        <v/>
      </c>
      <c r="F210" s="22">
        <f>IF(B210="","",IFERROR(VLOOKUP(B210,'📦产品库'!$B$4:$G$9999,6,0),""))</f>
        <v/>
      </c>
      <c r="G210" s="16" t="n"/>
      <c r="H210" s="23">
        <f>IF(B210="","",1)</f>
        <v/>
      </c>
      <c r="I210" s="17">
        <f>IF(B210="","",IF(G210&lt;&gt;"",G210*H210,F210*H210))</f>
        <v/>
      </c>
      <c r="J210" s="24" t="n"/>
      <c r="K210" s="18">
        <f>IF(B210="","",IF(G210&gt;=2000,20,IF(G210&gt;=1000,10,0)))</f>
        <v/>
      </c>
      <c r="L210" s="27" t="n"/>
    </row>
    <row r="211" ht="18" customHeight="1">
      <c r="A211" s="19">
        <f>IF(B211="","",ROW()-4)</f>
        <v/>
      </c>
      <c r="B211" s="15" t="n"/>
      <c r="C211" s="20">
        <f>IF(B211="","",IFERROR(VLOOKUP(B211,'📦产品库'!$B$4:$D$9999,2,0),"⚠️未找到"))</f>
        <v/>
      </c>
      <c r="D211" s="21">
        <f>IF(B211="","",IFERROR(VLOOKUP(B211,'📦产品库'!$B$4:$E$9999,4,0),""))</f>
        <v/>
      </c>
      <c r="E211" s="21">
        <f>IF(B211="","",IFERROR(VLOOKUP(B211,'📦产品库'!$B$4:$F$9999,5,0),""))</f>
        <v/>
      </c>
      <c r="F211" s="22">
        <f>IF(B211="","",IFERROR(VLOOKUP(B211,'📦产品库'!$B$4:$G$9999,6,0),""))</f>
        <v/>
      </c>
      <c r="G211" s="16" t="n"/>
      <c r="H211" s="23">
        <f>IF(B211="","",1)</f>
        <v/>
      </c>
      <c r="I211" s="17">
        <f>IF(B211="","",IF(G211&lt;&gt;"",G211*H211,F211*H211))</f>
        <v/>
      </c>
      <c r="J211" s="24" t="n"/>
      <c r="K211" s="18">
        <f>IF(B211="","",IF(G211&gt;=2000,20,IF(G211&gt;=1000,10,0)))</f>
        <v/>
      </c>
      <c r="L211" s="25" t="n"/>
    </row>
    <row r="212" ht="18" customHeight="1">
      <c r="A212" s="26">
        <f>IF(B212="","",ROW()-4)</f>
        <v/>
      </c>
      <c r="B212" s="15" t="n"/>
      <c r="C212" s="20">
        <f>IF(B212="","",IFERROR(VLOOKUP(B212,'📦产品库'!$B$4:$D$9999,2,0),"⚠️未找到"))</f>
        <v/>
      </c>
      <c r="D212" s="21">
        <f>IF(B212="","",IFERROR(VLOOKUP(B212,'📦产品库'!$B$4:$E$9999,4,0),""))</f>
        <v/>
      </c>
      <c r="E212" s="21">
        <f>IF(B212="","",IFERROR(VLOOKUP(B212,'📦产品库'!$B$4:$F$9999,5,0),""))</f>
        <v/>
      </c>
      <c r="F212" s="22">
        <f>IF(B212="","",IFERROR(VLOOKUP(B212,'📦产品库'!$B$4:$G$9999,6,0),""))</f>
        <v/>
      </c>
      <c r="G212" s="16" t="n"/>
      <c r="H212" s="23">
        <f>IF(B212="","",1)</f>
        <v/>
      </c>
      <c r="I212" s="17">
        <f>IF(B212="","",IF(G212&lt;&gt;"",G212*H212,F212*H212))</f>
        <v/>
      </c>
      <c r="J212" s="24" t="n"/>
      <c r="K212" s="18">
        <f>IF(B212="","",IF(G212&gt;=2000,20,IF(G212&gt;=1000,10,0)))</f>
        <v/>
      </c>
      <c r="L212" s="27" t="n"/>
    </row>
    <row r="213" ht="18" customHeight="1">
      <c r="A213" s="19">
        <f>IF(B213="","",ROW()-4)</f>
        <v/>
      </c>
      <c r="B213" s="15" t="n"/>
      <c r="C213" s="20">
        <f>IF(B213="","",IFERROR(VLOOKUP(B213,'📦产品库'!$B$4:$D$9999,2,0),"⚠️未找到"))</f>
        <v/>
      </c>
      <c r="D213" s="21">
        <f>IF(B213="","",IFERROR(VLOOKUP(B213,'📦产品库'!$B$4:$E$9999,4,0),""))</f>
        <v/>
      </c>
      <c r="E213" s="21">
        <f>IF(B213="","",IFERROR(VLOOKUP(B213,'📦产品库'!$B$4:$F$9999,5,0),""))</f>
        <v/>
      </c>
      <c r="F213" s="22">
        <f>IF(B213="","",IFERROR(VLOOKUP(B213,'📦产品库'!$B$4:$G$9999,6,0),""))</f>
        <v/>
      </c>
      <c r="G213" s="16" t="n"/>
      <c r="H213" s="23">
        <f>IF(B213="","",1)</f>
        <v/>
      </c>
      <c r="I213" s="17">
        <f>IF(B213="","",IF(G213&lt;&gt;"",G213*H213,F213*H213))</f>
        <v/>
      </c>
      <c r="J213" s="24" t="n"/>
      <c r="K213" s="18">
        <f>IF(B213="","",IF(G213&gt;=2000,20,IF(G213&gt;=1000,10,0)))</f>
        <v/>
      </c>
      <c r="L213" s="25" t="n"/>
    </row>
    <row r="214" ht="18" customHeight="1">
      <c r="A214" s="26">
        <f>IF(B214="","",ROW()-4)</f>
        <v/>
      </c>
      <c r="B214" s="15" t="n"/>
      <c r="C214" s="20">
        <f>IF(B214="","",IFERROR(VLOOKUP(B214,'📦产品库'!$B$4:$D$9999,2,0),"⚠️未找到"))</f>
        <v/>
      </c>
      <c r="D214" s="21">
        <f>IF(B214="","",IFERROR(VLOOKUP(B214,'📦产品库'!$B$4:$E$9999,4,0),""))</f>
        <v/>
      </c>
      <c r="E214" s="21">
        <f>IF(B214="","",IFERROR(VLOOKUP(B214,'📦产品库'!$B$4:$F$9999,5,0),""))</f>
        <v/>
      </c>
      <c r="F214" s="22">
        <f>IF(B214="","",IFERROR(VLOOKUP(B214,'📦产品库'!$B$4:$G$9999,6,0),""))</f>
        <v/>
      </c>
      <c r="G214" s="16" t="n"/>
      <c r="H214" s="23">
        <f>IF(B214="","",1)</f>
        <v/>
      </c>
      <c r="I214" s="17">
        <f>IF(B214="","",IF(G214&lt;&gt;"",G214*H214,F214*H214))</f>
        <v/>
      </c>
      <c r="J214" s="24" t="n"/>
      <c r="K214" s="18">
        <f>IF(B214="","",IF(G214&gt;=2000,20,IF(G214&gt;=1000,10,0)))</f>
        <v/>
      </c>
      <c r="L214" s="27" t="n"/>
    </row>
    <row r="215" ht="18" customHeight="1">
      <c r="A215" s="19">
        <f>IF(B215="","",ROW()-4)</f>
        <v/>
      </c>
      <c r="B215" s="15" t="n"/>
      <c r="C215" s="20">
        <f>IF(B215="","",IFERROR(VLOOKUP(B215,'📦产品库'!$B$4:$D$9999,2,0),"⚠️未找到"))</f>
        <v/>
      </c>
      <c r="D215" s="21">
        <f>IF(B215="","",IFERROR(VLOOKUP(B215,'📦产品库'!$B$4:$E$9999,4,0),""))</f>
        <v/>
      </c>
      <c r="E215" s="21">
        <f>IF(B215="","",IFERROR(VLOOKUP(B215,'📦产品库'!$B$4:$F$9999,5,0),""))</f>
        <v/>
      </c>
      <c r="F215" s="22">
        <f>IF(B215="","",IFERROR(VLOOKUP(B215,'📦产品库'!$B$4:$G$9999,6,0),""))</f>
        <v/>
      </c>
      <c r="G215" s="16" t="n"/>
      <c r="H215" s="23">
        <f>IF(B215="","",1)</f>
        <v/>
      </c>
      <c r="I215" s="17">
        <f>IF(B215="","",IF(G215&lt;&gt;"",G215*H215,F215*H215))</f>
        <v/>
      </c>
      <c r="J215" s="24" t="n"/>
      <c r="K215" s="18">
        <f>IF(B215="","",IF(G215&gt;=2000,20,IF(G215&gt;=1000,10,0)))</f>
        <v/>
      </c>
      <c r="L215" s="25" t="n"/>
    </row>
    <row r="216" ht="18" customHeight="1">
      <c r="A216" s="26">
        <f>IF(B216="","",ROW()-4)</f>
        <v/>
      </c>
      <c r="B216" s="15" t="n"/>
      <c r="C216" s="20">
        <f>IF(B216="","",IFERROR(VLOOKUP(B216,'📦产品库'!$B$4:$D$9999,2,0),"⚠️未找到"))</f>
        <v/>
      </c>
      <c r="D216" s="21">
        <f>IF(B216="","",IFERROR(VLOOKUP(B216,'📦产品库'!$B$4:$E$9999,4,0),""))</f>
        <v/>
      </c>
      <c r="E216" s="21">
        <f>IF(B216="","",IFERROR(VLOOKUP(B216,'📦产品库'!$B$4:$F$9999,5,0),""))</f>
        <v/>
      </c>
      <c r="F216" s="22">
        <f>IF(B216="","",IFERROR(VLOOKUP(B216,'📦产品库'!$B$4:$G$9999,6,0),""))</f>
        <v/>
      </c>
      <c r="G216" s="16" t="n"/>
      <c r="H216" s="23">
        <f>IF(B216="","",1)</f>
        <v/>
      </c>
      <c r="I216" s="17">
        <f>IF(B216="","",IF(G216&lt;&gt;"",G216*H216,F216*H216))</f>
        <v/>
      </c>
      <c r="J216" s="24" t="n"/>
      <c r="K216" s="18">
        <f>IF(B216="","",IF(G216&gt;=2000,20,IF(G216&gt;=1000,10,0)))</f>
        <v/>
      </c>
      <c r="L216" s="27" t="n"/>
    </row>
    <row r="217" ht="18" customHeight="1">
      <c r="A217" s="19">
        <f>IF(B217="","",ROW()-4)</f>
        <v/>
      </c>
      <c r="B217" s="15" t="n"/>
      <c r="C217" s="20">
        <f>IF(B217="","",IFERROR(VLOOKUP(B217,'📦产品库'!$B$4:$D$9999,2,0),"⚠️未找到"))</f>
        <v/>
      </c>
      <c r="D217" s="21">
        <f>IF(B217="","",IFERROR(VLOOKUP(B217,'📦产品库'!$B$4:$E$9999,4,0),""))</f>
        <v/>
      </c>
      <c r="E217" s="21">
        <f>IF(B217="","",IFERROR(VLOOKUP(B217,'📦产品库'!$B$4:$F$9999,5,0),""))</f>
        <v/>
      </c>
      <c r="F217" s="22">
        <f>IF(B217="","",IFERROR(VLOOKUP(B217,'📦产品库'!$B$4:$G$9999,6,0),""))</f>
        <v/>
      </c>
      <c r="G217" s="16" t="n"/>
      <c r="H217" s="23">
        <f>IF(B217="","",1)</f>
        <v/>
      </c>
      <c r="I217" s="17">
        <f>IF(B217="","",IF(G217&lt;&gt;"",G217*H217,F217*H217))</f>
        <v/>
      </c>
      <c r="J217" s="24" t="n"/>
      <c r="K217" s="18">
        <f>IF(B217="","",IF(G217&gt;=2000,20,IF(G217&gt;=1000,10,0)))</f>
        <v/>
      </c>
      <c r="L217" s="25" t="n"/>
    </row>
    <row r="218" ht="18" customHeight="1">
      <c r="A218" s="26">
        <f>IF(B218="","",ROW()-4)</f>
        <v/>
      </c>
      <c r="B218" s="15" t="n"/>
      <c r="C218" s="20">
        <f>IF(B218="","",IFERROR(VLOOKUP(B218,'📦产品库'!$B$4:$D$9999,2,0),"⚠️未找到"))</f>
        <v/>
      </c>
      <c r="D218" s="21">
        <f>IF(B218="","",IFERROR(VLOOKUP(B218,'📦产品库'!$B$4:$E$9999,4,0),""))</f>
        <v/>
      </c>
      <c r="E218" s="21">
        <f>IF(B218="","",IFERROR(VLOOKUP(B218,'📦产品库'!$B$4:$F$9999,5,0),""))</f>
        <v/>
      </c>
      <c r="F218" s="22">
        <f>IF(B218="","",IFERROR(VLOOKUP(B218,'📦产品库'!$B$4:$G$9999,6,0),""))</f>
        <v/>
      </c>
      <c r="G218" s="16" t="n"/>
      <c r="H218" s="23">
        <f>IF(B218="","",1)</f>
        <v/>
      </c>
      <c r="I218" s="17">
        <f>IF(B218="","",IF(G218&lt;&gt;"",G218*H218,F218*H218))</f>
        <v/>
      </c>
      <c r="J218" s="24" t="n"/>
      <c r="K218" s="18">
        <f>IF(B218="","",IF(G218&gt;=2000,20,IF(G218&gt;=1000,10,0)))</f>
        <v/>
      </c>
      <c r="L218" s="27" t="n"/>
    </row>
    <row r="219" ht="18" customHeight="1">
      <c r="A219" s="19">
        <f>IF(B219="","",ROW()-4)</f>
        <v/>
      </c>
      <c r="B219" s="15" t="n"/>
      <c r="C219" s="20">
        <f>IF(B219="","",IFERROR(VLOOKUP(B219,'📦产品库'!$B$4:$D$9999,2,0),"⚠️未找到"))</f>
        <v/>
      </c>
      <c r="D219" s="21">
        <f>IF(B219="","",IFERROR(VLOOKUP(B219,'📦产品库'!$B$4:$E$9999,4,0),""))</f>
        <v/>
      </c>
      <c r="E219" s="21">
        <f>IF(B219="","",IFERROR(VLOOKUP(B219,'📦产品库'!$B$4:$F$9999,5,0),""))</f>
        <v/>
      </c>
      <c r="F219" s="22">
        <f>IF(B219="","",IFERROR(VLOOKUP(B219,'📦产品库'!$B$4:$G$9999,6,0),""))</f>
        <v/>
      </c>
      <c r="G219" s="16" t="n"/>
      <c r="H219" s="23">
        <f>IF(B219="","",1)</f>
        <v/>
      </c>
      <c r="I219" s="17">
        <f>IF(B219="","",IF(G219&lt;&gt;"",G219*H219,F219*H219))</f>
        <v/>
      </c>
      <c r="J219" s="24" t="n"/>
      <c r="K219" s="18">
        <f>IF(B219="","",IF(G219&gt;=2000,20,IF(G219&gt;=1000,10,0)))</f>
        <v/>
      </c>
      <c r="L219" s="25" t="n"/>
    </row>
    <row r="220" ht="18" customHeight="1">
      <c r="A220" s="26">
        <f>IF(B220="","",ROW()-4)</f>
        <v/>
      </c>
      <c r="B220" s="15" t="n"/>
      <c r="C220" s="20">
        <f>IF(B220="","",IFERROR(VLOOKUP(B220,'📦产品库'!$B$4:$D$9999,2,0),"⚠️未找到"))</f>
        <v/>
      </c>
      <c r="D220" s="21">
        <f>IF(B220="","",IFERROR(VLOOKUP(B220,'📦产品库'!$B$4:$E$9999,4,0),""))</f>
        <v/>
      </c>
      <c r="E220" s="21">
        <f>IF(B220="","",IFERROR(VLOOKUP(B220,'📦产品库'!$B$4:$F$9999,5,0),""))</f>
        <v/>
      </c>
      <c r="F220" s="22">
        <f>IF(B220="","",IFERROR(VLOOKUP(B220,'📦产品库'!$B$4:$G$9999,6,0),""))</f>
        <v/>
      </c>
      <c r="G220" s="16" t="n"/>
      <c r="H220" s="23">
        <f>IF(B220="","",1)</f>
        <v/>
      </c>
      <c r="I220" s="17">
        <f>IF(B220="","",IF(G220&lt;&gt;"",G220*H220,F220*H220))</f>
        <v/>
      </c>
      <c r="J220" s="24" t="n"/>
      <c r="K220" s="18">
        <f>IF(B220="","",IF(G220&gt;=2000,20,IF(G220&gt;=1000,10,0)))</f>
        <v/>
      </c>
      <c r="L220" s="27" t="n"/>
    </row>
    <row r="221" ht="18" customHeight="1">
      <c r="A221" s="19">
        <f>IF(B221="","",ROW()-4)</f>
        <v/>
      </c>
      <c r="B221" s="15" t="n"/>
      <c r="C221" s="20">
        <f>IF(B221="","",IFERROR(VLOOKUP(B221,'📦产品库'!$B$4:$D$9999,2,0),"⚠️未找到"))</f>
        <v/>
      </c>
      <c r="D221" s="21">
        <f>IF(B221="","",IFERROR(VLOOKUP(B221,'📦产品库'!$B$4:$E$9999,4,0),""))</f>
        <v/>
      </c>
      <c r="E221" s="21">
        <f>IF(B221="","",IFERROR(VLOOKUP(B221,'📦产品库'!$B$4:$F$9999,5,0),""))</f>
        <v/>
      </c>
      <c r="F221" s="22">
        <f>IF(B221="","",IFERROR(VLOOKUP(B221,'📦产品库'!$B$4:$G$9999,6,0),""))</f>
        <v/>
      </c>
      <c r="G221" s="16" t="n"/>
      <c r="H221" s="23">
        <f>IF(B221="","",1)</f>
        <v/>
      </c>
      <c r="I221" s="17">
        <f>IF(B221="","",IF(G221&lt;&gt;"",G221*H221,F221*H221))</f>
        <v/>
      </c>
      <c r="J221" s="24" t="n"/>
      <c r="K221" s="18">
        <f>IF(B221="","",IF(G221&gt;=2000,20,IF(G221&gt;=1000,10,0)))</f>
        <v/>
      </c>
      <c r="L221" s="25" t="n"/>
    </row>
    <row r="222" ht="18" customHeight="1">
      <c r="A222" s="26">
        <f>IF(B222="","",ROW()-4)</f>
        <v/>
      </c>
      <c r="B222" s="15" t="n"/>
      <c r="C222" s="20">
        <f>IF(B222="","",IFERROR(VLOOKUP(B222,'📦产品库'!$B$4:$D$9999,2,0),"⚠️未找到"))</f>
        <v/>
      </c>
      <c r="D222" s="21">
        <f>IF(B222="","",IFERROR(VLOOKUP(B222,'📦产品库'!$B$4:$E$9999,4,0),""))</f>
        <v/>
      </c>
      <c r="E222" s="21">
        <f>IF(B222="","",IFERROR(VLOOKUP(B222,'📦产品库'!$B$4:$F$9999,5,0),""))</f>
        <v/>
      </c>
      <c r="F222" s="22">
        <f>IF(B222="","",IFERROR(VLOOKUP(B222,'📦产品库'!$B$4:$G$9999,6,0),""))</f>
        <v/>
      </c>
      <c r="G222" s="16" t="n"/>
      <c r="H222" s="23">
        <f>IF(B222="","",1)</f>
        <v/>
      </c>
      <c r="I222" s="17">
        <f>IF(B222="","",IF(G222&lt;&gt;"",G222*H222,F222*H222))</f>
        <v/>
      </c>
      <c r="J222" s="24" t="n"/>
      <c r="K222" s="18">
        <f>IF(B222="","",IF(G222&gt;=2000,20,IF(G222&gt;=1000,10,0)))</f>
        <v/>
      </c>
      <c r="L222" s="27" t="n"/>
    </row>
    <row r="223" ht="18" customHeight="1">
      <c r="A223" s="19">
        <f>IF(B223="","",ROW()-4)</f>
        <v/>
      </c>
      <c r="B223" s="15" t="n"/>
      <c r="C223" s="20">
        <f>IF(B223="","",IFERROR(VLOOKUP(B223,'📦产品库'!$B$4:$D$9999,2,0),"⚠️未找到"))</f>
        <v/>
      </c>
      <c r="D223" s="21">
        <f>IF(B223="","",IFERROR(VLOOKUP(B223,'📦产品库'!$B$4:$E$9999,4,0),""))</f>
        <v/>
      </c>
      <c r="E223" s="21">
        <f>IF(B223="","",IFERROR(VLOOKUP(B223,'📦产品库'!$B$4:$F$9999,5,0),""))</f>
        <v/>
      </c>
      <c r="F223" s="22">
        <f>IF(B223="","",IFERROR(VLOOKUP(B223,'📦产品库'!$B$4:$G$9999,6,0),""))</f>
        <v/>
      </c>
      <c r="G223" s="16" t="n"/>
      <c r="H223" s="23">
        <f>IF(B223="","",1)</f>
        <v/>
      </c>
      <c r="I223" s="17">
        <f>IF(B223="","",IF(G223&lt;&gt;"",G223*H223,F223*H223))</f>
        <v/>
      </c>
      <c r="J223" s="24" t="n"/>
      <c r="K223" s="18">
        <f>IF(B223="","",IF(G223&gt;=2000,20,IF(G223&gt;=1000,10,0)))</f>
        <v/>
      </c>
      <c r="L223" s="25" t="n"/>
    </row>
    <row r="224" ht="18" customHeight="1">
      <c r="A224" s="26">
        <f>IF(B224="","",ROW()-4)</f>
        <v/>
      </c>
      <c r="B224" s="15" t="n"/>
      <c r="C224" s="20">
        <f>IF(B224="","",IFERROR(VLOOKUP(B224,'📦产品库'!$B$4:$D$9999,2,0),"⚠️未找到"))</f>
        <v/>
      </c>
      <c r="D224" s="21">
        <f>IF(B224="","",IFERROR(VLOOKUP(B224,'📦产品库'!$B$4:$E$9999,4,0),""))</f>
        <v/>
      </c>
      <c r="E224" s="21">
        <f>IF(B224="","",IFERROR(VLOOKUP(B224,'📦产品库'!$B$4:$F$9999,5,0),""))</f>
        <v/>
      </c>
      <c r="F224" s="22">
        <f>IF(B224="","",IFERROR(VLOOKUP(B224,'📦产品库'!$B$4:$G$9999,6,0),""))</f>
        <v/>
      </c>
      <c r="G224" s="16" t="n"/>
      <c r="H224" s="23">
        <f>IF(B224="","",1)</f>
        <v/>
      </c>
      <c r="I224" s="17">
        <f>IF(B224="","",IF(G224&lt;&gt;"",G224*H224,F224*H224))</f>
        <v/>
      </c>
      <c r="J224" s="24" t="n"/>
      <c r="K224" s="18">
        <f>IF(B224="","",IF(G224&gt;=2000,20,IF(G224&gt;=1000,10,0)))</f>
        <v/>
      </c>
      <c r="L224" s="27" t="n"/>
    </row>
    <row r="225" ht="18" customHeight="1">
      <c r="A225" s="19">
        <f>IF(B225="","",ROW()-4)</f>
        <v/>
      </c>
      <c r="B225" s="15" t="n"/>
      <c r="C225" s="20">
        <f>IF(B225="","",IFERROR(VLOOKUP(B225,'📦产品库'!$B$4:$D$9999,2,0),"⚠️未找到"))</f>
        <v/>
      </c>
      <c r="D225" s="21">
        <f>IF(B225="","",IFERROR(VLOOKUP(B225,'📦产品库'!$B$4:$E$9999,4,0),""))</f>
        <v/>
      </c>
      <c r="E225" s="21">
        <f>IF(B225="","",IFERROR(VLOOKUP(B225,'📦产品库'!$B$4:$F$9999,5,0),""))</f>
        <v/>
      </c>
      <c r="F225" s="22">
        <f>IF(B225="","",IFERROR(VLOOKUP(B225,'📦产品库'!$B$4:$G$9999,6,0),""))</f>
        <v/>
      </c>
      <c r="G225" s="16" t="n"/>
      <c r="H225" s="23">
        <f>IF(B225="","",1)</f>
        <v/>
      </c>
      <c r="I225" s="17">
        <f>IF(B225="","",IF(G225&lt;&gt;"",G225*H225,F225*H225))</f>
        <v/>
      </c>
      <c r="J225" s="24" t="n"/>
      <c r="K225" s="18">
        <f>IF(B225="","",IF(G225&gt;=2000,20,IF(G225&gt;=1000,10,0)))</f>
        <v/>
      </c>
      <c r="L225" s="25" t="n"/>
    </row>
    <row r="226" ht="18" customHeight="1">
      <c r="A226" s="26">
        <f>IF(B226="","",ROW()-4)</f>
        <v/>
      </c>
      <c r="B226" s="15" t="n"/>
      <c r="C226" s="20">
        <f>IF(B226="","",IFERROR(VLOOKUP(B226,'📦产品库'!$B$4:$D$9999,2,0),"⚠️未找到"))</f>
        <v/>
      </c>
      <c r="D226" s="21">
        <f>IF(B226="","",IFERROR(VLOOKUP(B226,'📦产品库'!$B$4:$E$9999,4,0),""))</f>
        <v/>
      </c>
      <c r="E226" s="21">
        <f>IF(B226="","",IFERROR(VLOOKUP(B226,'📦产品库'!$B$4:$F$9999,5,0),""))</f>
        <v/>
      </c>
      <c r="F226" s="22">
        <f>IF(B226="","",IFERROR(VLOOKUP(B226,'📦产品库'!$B$4:$G$9999,6,0),""))</f>
        <v/>
      </c>
      <c r="G226" s="16" t="n"/>
      <c r="H226" s="23">
        <f>IF(B226="","",1)</f>
        <v/>
      </c>
      <c r="I226" s="17">
        <f>IF(B226="","",IF(G226&lt;&gt;"",G226*H226,F226*H226))</f>
        <v/>
      </c>
      <c r="J226" s="24" t="n"/>
      <c r="K226" s="18">
        <f>IF(B226="","",IF(G226&gt;=2000,20,IF(G226&gt;=1000,10,0)))</f>
        <v/>
      </c>
      <c r="L226" s="27" t="n"/>
    </row>
    <row r="227" ht="18" customHeight="1">
      <c r="A227" s="19">
        <f>IF(B227="","",ROW()-4)</f>
        <v/>
      </c>
      <c r="B227" s="15" t="n"/>
      <c r="C227" s="20">
        <f>IF(B227="","",IFERROR(VLOOKUP(B227,'📦产品库'!$B$4:$D$9999,2,0),"⚠️未找到"))</f>
        <v/>
      </c>
      <c r="D227" s="21">
        <f>IF(B227="","",IFERROR(VLOOKUP(B227,'📦产品库'!$B$4:$E$9999,4,0),""))</f>
        <v/>
      </c>
      <c r="E227" s="21">
        <f>IF(B227="","",IFERROR(VLOOKUP(B227,'📦产品库'!$B$4:$F$9999,5,0),""))</f>
        <v/>
      </c>
      <c r="F227" s="22">
        <f>IF(B227="","",IFERROR(VLOOKUP(B227,'📦产品库'!$B$4:$G$9999,6,0),""))</f>
        <v/>
      </c>
      <c r="G227" s="16" t="n"/>
      <c r="H227" s="23">
        <f>IF(B227="","",1)</f>
        <v/>
      </c>
      <c r="I227" s="17">
        <f>IF(B227="","",IF(G227&lt;&gt;"",G227*H227,F227*H227))</f>
        <v/>
      </c>
      <c r="J227" s="24" t="n"/>
      <c r="K227" s="18">
        <f>IF(B227="","",IF(G227&gt;=2000,20,IF(G227&gt;=1000,10,0)))</f>
        <v/>
      </c>
      <c r="L227" s="25" t="n"/>
    </row>
    <row r="228" ht="18" customHeight="1">
      <c r="A228" s="26">
        <f>IF(B228="","",ROW()-4)</f>
        <v/>
      </c>
      <c r="B228" s="15" t="n"/>
      <c r="C228" s="20">
        <f>IF(B228="","",IFERROR(VLOOKUP(B228,'📦产品库'!$B$4:$D$9999,2,0),"⚠️未找到"))</f>
        <v/>
      </c>
      <c r="D228" s="21">
        <f>IF(B228="","",IFERROR(VLOOKUP(B228,'📦产品库'!$B$4:$E$9999,4,0),""))</f>
        <v/>
      </c>
      <c r="E228" s="21">
        <f>IF(B228="","",IFERROR(VLOOKUP(B228,'📦产品库'!$B$4:$F$9999,5,0),""))</f>
        <v/>
      </c>
      <c r="F228" s="22">
        <f>IF(B228="","",IFERROR(VLOOKUP(B228,'📦产品库'!$B$4:$G$9999,6,0),""))</f>
        <v/>
      </c>
      <c r="G228" s="16" t="n"/>
      <c r="H228" s="23">
        <f>IF(B228="","",1)</f>
        <v/>
      </c>
      <c r="I228" s="17">
        <f>IF(B228="","",IF(G228&lt;&gt;"",G228*H228,F228*H228))</f>
        <v/>
      </c>
      <c r="J228" s="24" t="n"/>
      <c r="K228" s="18">
        <f>IF(B228="","",IF(G228&gt;=2000,20,IF(G228&gt;=1000,10,0)))</f>
        <v/>
      </c>
      <c r="L228" s="27" t="n"/>
    </row>
    <row r="229" ht="18" customHeight="1">
      <c r="A229" s="19">
        <f>IF(B229="","",ROW()-4)</f>
        <v/>
      </c>
      <c r="B229" s="15" t="n"/>
      <c r="C229" s="20">
        <f>IF(B229="","",IFERROR(VLOOKUP(B229,'📦产品库'!$B$4:$D$9999,2,0),"⚠️未找到"))</f>
        <v/>
      </c>
      <c r="D229" s="21">
        <f>IF(B229="","",IFERROR(VLOOKUP(B229,'📦产品库'!$B$4:$E$9999,4,0),""))</f>
        <v/>
      </c>
      <c r="E229" s="21">
        <f>IF(B229="","",IFERROR(VLOOKUP(B229,'📦产品库'!$B$4:$F$9999,5,0),""))</f>
        <v/>
      </c>
      <c r="F229" s="22">
        <f>IF(B229="","",IFERROR(VLOOKUP(B229,'📦产品库'!$B$4:$G$9999,6,0),""))</f>
        <v/>
      </c>
      <c r="G229" s="16" t="n"/>
      <c r="H229" s="23">
        <f>IF(B229="","",1)</f>
        <v/>
      </c>
      <c r="I229" s="17">
        <f>IF(B229="","",IF(G229&lt;&gt;"",G229*H229,F229*H229))</f>
        <v/>
      </c>
      <c r="J229" s="24" t="n"/>
      <c r="K229" s="18">
        <f>IF(B229="","",IF(G229&gt;=2000,20,IF(G229&gt;=1000,10,0)))</f>
        <v/>
      </c>
      <c r="L229" s="25" t="n"/>
    </row>
    <row r="230" ht="18" customHeight="1">
      <c r="A230" s="26">
        <f>IF(B230="","",ROW()-4)</f>
        <v/>
      </c>
      <c r="B230" s="15" t="n"/>
      <c r="C230" s="20">
        <f>IF(B230="","",IFERROR(VLOOKUP(B230,'📦产品库'!$B$4:$D$9999,2,0),"⚠️未找到"))</f>
        <v/>
      </c>
      <c r="D230" s="21">
        <f>IF(B230="","",IFERROR(VLOOKUP(B230,'📦产品库'!$B$4:$E$9999,4,0),""))</f>
        <v/>
      </c>
      <c r="E230" s="21">
        <f>IF(B230="","",IFERROR(VLOOKUP(B230,'📦产品库'!$B$4:$F$9999,5,0),""))</f>
        <v/>
      </c>
      <c r="F230" s="22">
        <f>IF(B230="","",IFERROR(VLOOKUP(B230,'📦产品库'!$B$4:$G$9999,6,0),""))</f>
        <v/>
      </c>
      <c r="G230" s="16" t="n"/>
      <c r="H230" s="23">
        <f>IF(B230="","",1)</f>
        <v/>
      </c>
      <c r="I230" s="17">
        <f>IF(B230="","",IF(G230&lt;&gt;"",G230*H230,F230*H230))</f>
        <v/>
      </c>
      <c r="J230" s="24" t="n"/>
      <c r="K230" s="18">
        <f>IF(B230="","",IF(G230&gt;=2000,20,IF(G230&gt;=1000,10,0)))</f>
        <v/>
      </c>
      <c r="L230" s="27" t="n"/>
    </row>
    <row r="231" ht="18" customHeight="1">
      <c r="A231" s="19">
        <f>IF(B231="","",ROW()-4)</f>
        <v/>
      </c>
      <c r="B231" s="15" t="n"/>
      <c r="C231" s="20">
        <f>IF(B231="","",IFERROR(VLOOKUP(B231,'📦产品库'!$B$4:$D$9999,2,0),"⚠️未找到"))</f>
        <v/>
      </c>
      <c r="D231" s="21">
        <f>IF(B231="","",IFERROR(VLOOKUP(B231,'📦产品库'!$B$4:$E$9999,4,0),""))</f>
        <v/>
      </c>
      <c r="E231" s="21">
        <f>IF(B231="","",IFERROR(VLOOKUP(B231,'📦产品库'!$B$4:$F$9999,5,0),""))</f>
        <v/>
      </c>
      <c r="F231" s="22">
        <f>IF(B231="","",IFERROR(VLOOKUP(B231,'📦产品库'!$B$4:$G$9999,6,0),""))</f>
        <v/>
      </c>
      <c r="G231" s="16" t="n"/>
      <c r="H231" s="23">
        <f>IF(B231="","",1)</f>
        <v/>
      </c>
      <c r="I231" s="17">
        <f>IF(B231="","",IF(G231&lt;&gt;"",G231*H231,F231*H231))</f>
        <v/>
      </c>
      <c r="J231" s="24" t="n"/>
      <c r="K231" s="18">
        <f>IF(B231="","",IF(G231&gt;=2000,20,IF(G231&gt;=1000,10,0)))</f>
        <v/>
      </c>
      <c r="L231" s="25" t="n"/>
    </row>
    <row r="232" ht="18" customHeight="1">
      <c r="A232" s="26">
        <f>IF(B232="","",ROW()-4)</f>
        <v/>
      </c>
      <c r="B232" s="15" t="n"/>
      <c r="C232" s="20">
        <f>IF(B232="","",IFERROR(VLOOKUP(B232,'📦产品库'!$B$4:$D$9999,2,0),"⚠️未找到"))</f>
        <v/>
      </c>
      <c r="D232" s="21">
        <f>IF(B232="","",IFERROR(VLOOKUP(B232,'📦产品库'!$B$4:$E$9999,4,0),""))</f>
        <v/>
      </c>
      <c r="E232" s="21">
        <f>IF(B232="","",IFERROR(VLOOKUP(B232,'📦产品库'!$B$4:$F$9999,5,0),""))</f>
        <v/>
      </c>
      <c r="F232" s="22">
        <f>IF(B232="","",IFERROR(VLOOKUP(B232,'📦产品库'!$B$4:$G$9999,6,0),""))</f>
        <v/>
      </c>
      <c r="G232" s="16" t="n"/>
      <c r="H232" s="23">
        <f>IF(B232="","",1)</f>
        <v/>
      </c>
      <c r="I232" s="17">
        <f>IF(B232="","",IF(G232&lt;&gt;"",G232*H232,F232*H232))</f>
        <v/>
      </c>
      <c r="J232" s="24" t="n"/>
      <c r="K232" s="18">
        <f>IF(B232="","",IF(G232&gt;=2000,20,IF(G232&gt;=1000,10,0)))</f>
        <v/>
      </c>
      <c r="L232" s="27" t="n"/>
    </row>
    <row r="233" ht="18" customHeight="1">
      <c r="A233" s="19">
        <f>IF(B233="","",ROW()-4)</f>
        <v/>
      </c>
      <c r="B233" s="15" t="n"/>
      <c r="C233" s="20">
        <f>IF(B233="","",IFERROR(VLOOKUP(B233,'📦产品库'!$B$4:$D$9999,2,0),"⚠️未找到"))</f>
        <v/>
      </c>
      <c r="D233" s="21">
        <f>IF(B233="","",IFERROR(VLOOKUP(B233,'📦产品库'!$B$4:$E$9999,4,0),""))</f>
        <v/>
      </c>
      <c r="E233" s="21">
        <f>IF(B233="","",IFERROR(VLOOKUP(B233,'📦产品库'!$B$4:$F$9999,5,0),""))</f>
        <v/>
      </c>
      <c r="F233" s="22">
        <f>IF(B233="","",IFERROR(VLOOKUP(B233,'📦产品库'!$B$4:$G$9999,6,0),""))</f>
        <v/>
      </c>
      <c r="G233" s="16" t="n"/>
      <c r="H233" s="23">
        <f>IF(B233="","",1)</f>
        <v/>
      </c>
      <c r="I233" s="17">
        <f>IF(B233="","",IF(G233&lt;&gt;"",G233*H233,F233*H233))</f>
        <v/>
      </c>
      <c r="J233" s="24" t="n"/>
      <c r="K233" s="18">
        <f>IF(B233="","",IF(G233&gt;=2000,20,IF(G233&gt;=1000,10,0)))</f>
        <v/>
      </c>
      <c r="L233" s="25" t="n"/>
    </row>
    <row r="234" ht="18" customHeight="1">
      <c r="A234" s="26">
        <f>IF(B234="","",ROW()-4)</f>
        <v/>
      </c>
      <c r="B234" s="15" t="n"/>
      <c r="C234" s="20">
        <f>IF(B234="","",IFERROR(VLOOKUP(B234,'📦产品库'!$B$4:$D$9999,2,0),"⚠️未找到"))</f>
        <v/>
      </c>
      <c r="D234" s="21">
        <f>IF(B234="","",IFERROR(VLOOKUP(B234,'📦产品库'!$B$4:$E$9999,4,0),""))</f>
        <v/>
      </c>
      <c r="E234" s="21">
        <f>IF(B234="","",IFERROR(VLOOKUP(B234,'📦产品库'!$B$4:$F$9999,5,0),""))</f>
        <v/>
      </c>
      <c r="F234" s="22">
        <f>IF(B234="","",IFERROR(VLOOKUP(B234,'📦产品库'!$B$4:$G$9999,6,0),""))</f>
        <v/>
      </c>
      <c r="G234" s="16" t="n"/>
      <c r="H234" s="23">
        <f>IF(B234="","",1)</f>
        <v/>
      </c>
      <c r="I234" s="17">
        <f>IF(B234="","",IF(G234&lt;&gt;"",G234*H234,F234*H234))</f>
        <v/>
      </c>
      <c r="J234" s="24" t="n"/>
      <c r="K234" s="18">
        <f>IF(B234="","",IF(G234&gt;=2000,20,IF(G234&gt;=1000,10,0)))</f>
        <v/>
      </c>
      <c r="L234" s="27" t="n"/>
    </row>
    <row r="235" ht="18" customHeight="1">
      <c r="A235" s="19">
        <f>IF(B235="","",ROW()-4)</f>
        <v/>
      </c>
      <c r="B235" s="15" t="n"/>
      <c r="C235" s="20">
        <f>IF(B235="","",IFERROR(VLOOKUP(B235,'📦产品库'!$B$4:$D$9999,2,0),"⚠️未找到"))</f>
        <v/>
      </c>
      <c r="D235" s="21">
        <f>IF(B235="","",IFERROR(VLOOKUP(B235,'📦产品库'!$B$4:$E$9999,4,0),""))</f>
        <v/>
      </c>
      <c r="E235" s="21">
        <f>IF(B235="","",IFERROR(VLOOKUP(B235,'📦产品库'!$B$4:$F$9999,5,0),""))</f>
        <v/>
      </c>
      <c r="F235" s="22">
        <f>IF(B235="","",IFERROR(VLOOKUP(B235,'📦产品库'!$B$4:$G$9999,6,0),""))</f>
        <v/>
      </c>
      <c r="G235" s="16" t="n"/>
      <c r="H235" s="23">
        <f>IF(B235="","",1)</f>
        <v/>
      </c>
      <c r="I235" s="17">
        <f>IF(B235="","",IF(G235&lt;&gt;"",G235*H235,F235*H235))</f>
        <v/>
      </c>
      <c r="J235" s="24" t="n"/>
      <c r="K235" s="18">
        <f>IF(B235="","",IF(G235&gt;=2000,20,IF(G235&gt;=1000,10,0)))</f>
        <v/>
      </c>
      <c r="L235" s="25" t="n"/>
    </row>
    <row r="236" ht="18" customHeight="1">
      <c r="A236" s="26">
        <f>IF(B236="","",ROW()-4)</f>
        <v/>
      </c>
      <c r="B236" s="15" t="n"/>
      <c r="C236" s="20">
        <f>IF(B236="","",IFERROR(VLOOKUP(B236,'📦产品库'!$B$4:$D$9999,2,0),"⚠️未找到"))</f>
        <v/>
      </c>
      <c r="D236" s="21">
        <f>IF(B236="","",IFERROR(VLOOKUP(B236,'📦产品库'!$B$4:$E$9999,4,0),""))</f>
        <v/>
      </c>
      <c r="E236" s="21">
        <f>IF(B236="","",IFERROR(VLOOKUP(B236,'📦产品库'!$B$4:$F$9999,5,0),""))</f>
        <v/>
      </c>
      <c r="F236" s="22">
        <f>IF(B236="","",IFERROR(VLOOKUP(B236,'📦产品库'!$B$4:$G$9999,6,0),""))</f>
        <v/>
      </c>
      <c r="G236" s="16" t="n"/>
      <c r="H236" s="23">
        <f>IF(B236="","",1)</f>
        <v/>
      </c>
      <c r="I236" s="17">
        <f>IF(B236="","",IF(G236&lt;&gt;"",G236*H236,F236*H236))</f>
        <v/>
      </c>
      <c r="J236" s="24" t="n"/>
      <c r="K236" s="18">
        <f>IF(B236="","",IF(G236&gt;=2000,20,IF(G236&gt;=1000,10,0)))</f>
        <v/>
      </c>
      <c r="L236" s="27" t="n"/>
    </row>
    <row r="237" ht="18" customHeight="1">
      <c r="A237" s="19">
        <f>IF(B237="","",ROW()-4)</f>
        <v/>
      </c>
      <c r="B237" s="15" t="n"/>
      <c r="C237" s="20">
        <f>IF(B237="","",IFERROR(VLOOKUP(B237,'📦产品库'!$B$4:$D$9999,2,0),"⚠️未找到"))</f>
        <v/>
      </c>
      <c r="D237" s="21">
        <f>IF(B237="","",IFERROR(VLOOKUP(B237,'📦产品库'!$B$4:$E$9999,4,0),""))</f>
        <v/>
      </c>
      <c r="E237" s="21">
        <f>IF(B237="","",IFERROR(VLOOKUP(B237,'📦产品库'!$B$4:$F$9999,5,0),""))</f>
        <v/>
      </c>
      <c r="F237" s="22">
        <f>IF(B237="","",IFERROR(VLOOKUP(B237,'📦产品库'!$B$4:$G$9999,6,0),""))</f>
        <v/>
      </c>
      <c r="G237" s="16" t="n"/>
      <c r="H237" s="23">
        <f>IF(B237="","",1)</f>
        <v/>
      </c>
      <c r="I237" s="17">
        <f>IF(B237="","",IF(G237&lt;&gt;"",G237*H237,F237*H237))</f>
        <v/>
      </c>
      <c r="J237" s="24" t="n"/>
      <c r="K237" s="18">
        <f>IF(B237="","",IF(G237&gt;=2000,20,IF(G237&gt;=1000,10,0)))</f>
        <v/>
      </c>
      <c r="L237" s="25" t="n"/>
    </row>
    <row r="238" ht="18" customHeight="1">
      <c r="A238" s="26">
        <f>IF(B238="","",ROW()-4)</f>
        <v/>
      </c>
      <c r="B238" s="15" t="n"/>
      <c r="C238" s="20">
        <f>IF(B238="","",IFERROR(VLOOKUP(B238,'📦产品库'!$B$4:$D$9999,2,0),"⚠️未找到"))</f>
        <v/>
      </c>
      <c r="D238" s="21">
        <f>IF(B238="","",IFERROR(VLOOKUP(B238,'📦产品库'!$B$4:$E$9999,4,0),""))</f>
        <v/>
      </c>
      <c r="E238" s="21">
        <f>IF(B238="","",IFERROR(VLOOKUP(B238,'📦产品库'!$B$4:$F$9999,5,0),""))</f>
        <v/>
      </c>
      <c r="F238" s="22">
        <f>IF(B238="","",IFERROR(VLOOKUP(B238,'📦产品库'!$B$4:$G$9999,6,0),""))</f>
        <v/>
      </c>
      <c r="G238" s="16" t="n"/>
      <c r="H238" s="23">
        <f>IF(B238="","",1)</f>
        <v/>
      </c>
      <c r="I238" s="17">
        <f>IF(B238="","",IF(G238&lt;&gt;"",G238*H238,F238*H238))</f>
        <v/>
      </c>
      <c r="J238" s="24" t="n"/>
      <c r="K238" s="18">
        <f>IF(B238="","",IF(G238&gt;=2000,20,IF(G238&gt;=1000,10,0)))</f>
        <v/>
      </c>
      <c r="L238" s="27" t="n"/>
    </row>
    <row r="239" ht="18" customHeight="1">
      <c r="A239" s="19">
        <f>IF(B239="","",ROW()-4)</f>
        <v/>
      </c>
      <c r="B239" s="15" t="n"/>
      <c r="C239" s="20">
        <f>IF(B239="","",IFERROR(VLOOKUP(B239,'📦产品库'!$B$4:$D$9999,2,0),"⚠️未找到"))</f>
        <v/>
      </c>
      <c r="D239" s="21">
        <f>IF(B239="","",IFERROR(VLOOKUP(B239,'📦产品库'!$B$4:$E$9999,4,0),""))</f>
        <v/>
      </c>
      <c r="E239" s="21">
        <f>IF(B239="","",IFERROR(VLOOKUP(B239,'📦产品库'!$B$4:$F$9999,5,0),""))</f>
        <v/>
      </c>
      <c r="F239" s="22">
        <f>IF(B239="","",IFERROR(VLOOKUP(B239,'📦产品库'!$B$4:$G$9999,6,0),""))</f>
        <v/>
      </c>
      <c r="G239" s="16" t="n"/>
      <c r="H239" s="23">
        <f>IF(B239="","",1)</f>
        <v/>
      </c>
      <c r="I239" s="17">
        <f>IF(B239="","",IF(G239&lt;&gt;"",G239*H239,F239*H239))</f>
        <v/>
      </c>
      <c r="J239" s="24" t="n"/>
      <c r="K239" s="18">
        <f>IF(B239="","",IF(G239&gt;=2000,20,IF(G239&gt;=1000,10,0)))</f>
        <v/>
      </c>
      <c r="L239" s="25" t="n"/>
    </row>
    <row r="240" ht="18" customHeight="1">
      <c r="A240" s="26">
        <f>IF(B240="","",ROW()-4)</f>
        <v/>
      </c>
      <c r="B240" s="15" t="n"/>
      <c r="C240" s="20">
        <f>IF(B240="","",IFERROR(VLOOKUP(B240,'📦产品库'!$B$4:$D$9999,2,0),"⚠️未找到"))</f>
        <v/>
      </c>
      <c r="D240" s="21">
        <f>IF(B240="","",IFERROR(VLOOKUP(B240,'📦产品库'!$B$4:$E$9999,4,0),""))</f>
        <v/>
      </c>
      <c r="E240" s="21">
        <f>IF(B240="","",IFERROR(VLOOKUP(B240,'📦产品库'!$B$4:$F$9999,5,0),""))</f>
        <v/>
      </c>
      <c r="F240" s="22">
        <f>IF(B240="","",IFERROR(VLOOKUP(B240,'📦产品库'!$B$4:$G$9999,6,0),""))</f>
        <v/>
      </c>
      <c r="G240" s="16" t="n"/>
      <c r="H240" s="23">
        <f>IF(B240="","",1)</f>
        <v/>
      </c>
      <c r="I240" s="17">
        <f>IF(B240="","",IF(G240&lt;&gt;"",G240*H240,F240*H240))</f>
        <v/>
      </c>
      <c r="J240" s="24" t="n"/>
      <c r="K240" s="18">
        <f>IF(B240="","",IF(G240&gt;=2000,20,IF(G240&gt;=1000,10,0)))</f>
        <v/>
      </c>
      <c r="L240" s="27" t="n"/>
    </row>
    <row r="241" ht="18" customHeight="1">
      <c r="A241" s="19">
        <f>IF(B241="","",ROW()-4)</f>
        <v/>
      </c>
      <c r="B241" s="15" t="n"/>
      <c r="C241" s="20">
        <f>IF(B241="","",IFERROR(VLOOKUP(B241,'📦产品库'!$B$4:$D$9999,2,0),"⚠️未找到"))</f>
        <v/>
      </c>
      <c r="D241" s="21">
        <f>IF(B241="","",IFERROR(VLOOKUP(B241,'📦产品库'!$B$4:$E$9999,4,0),""))</f>
        <v/>
      </c>
      <c r="E241" s="21">
        <f>IF(B241="","",IFERROR(VLOOKUP(B241,'📦产品库'!$B$4:$F$9999,5,0),""))</f>
        <v/>
      </c>
      <c r="F241" s="22">
        <f>IF(B241="","",IFERROR(VLOOKUP(B241,'📦产品库'!$B$4:$G$9999,6,0),""))</f>
        <v/>
      </c>
      <c r="G241" s="16" t="n"/>
      <c r="H241" s="23">
        <f>IF(B241="","",1)</f>
        <v/>
      </c>
      <c r="I241" s="17">
        <f>IF(B241="","",IF(G241&lt;&gt;"",G241*H241,F241*H241))</f>
        <v/>
      </c>
      <c r="J241" s="24" t="n"/>
      <c r="K241" s="18">
        <f>IF(B241="","",IF(G241&gt;=2000,20,IF(G241&gt;=1000,10,0)))</f>
        <v/>
      </c>
      <c r="L241" s="25" t="n"/>
    </row>
    <row r="242" ht="18" customHeight="1">
      <c r="A242" s="26">
        <f>IF(B242="","",ROW()-4)</f>
        <v/>
      </c>
      <c r="B242" s="15" t="n"/>
      <c r="C242" s="20">
        <f>IF(B242="","",IFERROR(VLOOKUP(B242,'📦产品库'!$B$4:$D$9999,2,0),"⚠️未找到"))</f>
        <v/>
      </c>
      <c r="D242" s="21">
        <f>IF(B242="","",IFERROR(VLOOKUP(B242,'📦产品库'!$B$4:$E$9999,4,0),""))</f>
        <v/>
      </c>
      <c r="E242" s="21">
        <f>IF(B242="","",IFERROR(VLOOKUP(B242,'📦产品库'!$B$4:$F$9999,5,0),""))</f>
        <v/>
      </c>
      <c r="F242" s="22">
        <f>IF(B242="","",IFERROR(VLOOKUP(B242,'📦产品库'!$B$4:$G$9999,6,0),""))</f>
        <v/>
      </c>
      <c r="G242" s="16" t="n"/>
      <c r="H242" s="23">
        <f>IF(B242="","",1)</f>
        <v/>
      </c>
      <c r="I242" s="17">
        <f>IF(B242="","",IF(G242&lt;&gt;"",G242*H242,F242*H242))</f>
        <v/>
      </c>
      <c r="J242" s="24" t="n"/>
      <c r="K242" s="18">
        <f>IF(B242="","",IF(G242&gt;=2000,20,IF(G242&gt;=1000,10,0)))</f>
        <v/>
      </c>
      <c r="L242" s="27" t="n"/>
    </row>
    <row r="243" ht="18" customHeight="1">
      <c r="A243" s="19">
        <f>IF(B243="","",ROW()-4)</f>
        <v/>
      </c>
      <c r="B243" s="15" t="n"/>
      <c r="C243" s="20">
        <f>IF(B243="","",IFERROR(VLOOKUP(B243,'📦产品库'!$B$4:$D$9999,2,0),"⚠️未找到"))</f>
        <v/>
      </c>
      <c r="D243" s="21">
        <f>IF(B243="","",IFERROR(VLOOKUP(B243,'📦产品库'!$B$4:$E$9999,4,0),""))</f>
        <v/>
      </c>
      <c r="E243" s="21">
        <f>IF(B243="","",IFERROR(VLOOKUP(B243,'📦产品库'!$B$4:$F$9999,5,0),""))</f>
        <v/>
      </c>
      <c r="F243" s="22">
        <f>IF(B243="","",IFERROR(VLOOKUP(B243,'📦产品库'!$B$4:$G$9999,6,0),""))</f>
        <v/>
      </c>
      <c r="G243" s="16" t="n"/>
      <c r="H243" s="23">
        <f>IF(B243="","",1)</f>
        <v/>
      </c>
      <c r="I243" s="17">
        <f>IF(B243="","",IF(G243&lt;&gt;"",G243*H243,F243*H243))</f>
        <v/>
      </c>
      <c r="J243" s="24" t="n"/>
      <c r="K243" s="18">
        <f>IF(B243="","",IF(G243&gt;=2000,20,IF(G243&gt;=1000,10,0)))</f>
        <v/>
      </c>
      <c r="L243" s="25" t="n"/>
    </row>
    <row r="244" ht="18" customHeight="1">
      <c r="A244" s="26">
        <f>IF(B244="","",ROW()-4)</f>
        <v/>
      </c>
      <c r="B244" s="15" t="n"/>
      <c r="C244" s="20">
        <f>IF(B244="","",IFERROR(VLOOKUP(B244,'📦产品库'!$B$4:$D$9999,2,0),"⚠️未找到"))</f>
        <v/>
      </c>
      <c r="D244" s="21">
        <f>IF(B244="","",IFERROR(VLOOKUP(B244,'📦产品库'!$B$4:$E$9999,4,0),""))</f>
        <v/>
      </c>
      <c r="E244" s="21">
        <f>IF(B244="","",IFERROR(VLOOKUP(B244,'📦产品库'!$B$4:$F$9999,5,0),""))</f>
        <v/>
      </c>
      <c r="F244" s="22">
        <f>IF(B244="","",IFERROR(VLOOKUP(B244,'📦产品库'!$B$4:$G$9999,6,0),""))</f>
        <v/>
      </c>
      <c r="G244" s="16" t="n"/>
      <c r="H244" s="23">
        <f>IF(B244="","",1)</f>
        <v/>
      </c>
      <c r="I244" s="17">
        <f>IF(B244="","",IF(G244&lt;&gt;"",G244*H244,F244*H244))</f>
        <v/>
      </c>
      <c r="J244" s="24" t="n"/>
      <c r="K244" s="18">
        <f>IF(B244="","",IF(G244&gt;=2000,20,IF(G244&gt;=1000,10,0)))</f>
        <v/>
      </c>
      <c r="L244" s="27" t="n"/>
    </row>
    <row r="245" ht="18" customHeight="1">
      <c r="A245" s="19">
        <f>IF(B245="","",ROW()-4)</f>
        <v/>
      </c>
      <c r="B245" s="15" t="n"/>
      <c r="C245" s="20">
        <f>IF(B245="","",IFERROR(VLOOKUP(B245,'📦产品库'!$B$4:$D$9999,2,0),"⚠️未找到"))</f>
        <v/>
      </c>
      <c r="D245" s="21">
        <f>IF(B245="","",IFERROR(VLOOKUP(B245,'📦产品库'!$B$4:$E$9999,4,0),""))</f>
        <v/>
      </c>
      <c r="E245" s="21">
        <f>IF(B245="","",IFERROR(VLOOKUP(B245,'📦产品库'!$B$4:$F$9999,5,0),""))</f>
        <v/>
      </c>
      <c r="F245" s="22">
        <f>IF(B245="","",IFERROR(VLOOKUP(B245,'📦产品库'!$B$4:$G$9999,6,0),""))</f>
        <v/>
      </c>
      <c r="G245" s="16" t="n"/>
      <c r="H245" s="23">
        <f>IF(B245="","",1)</f>
        <v/>
      </c>
      <c r="I245" s="17">
        <f>IF(B245="","",IF(G245&lt;&gt;"",G245*H245,F245*H245))</f>
        <v/>
      </c>
      <c r="J245" s="24" t="n"/>
      <c r="K245" s="18">
        <f>IF(B245="","",IF(G245&gt;=2000,20,IF(G245&gt;=1000,10,0)))</f>
        <v/>
      </c>
      <c r="L245" s="25" t="n"/>
    </row>
    <row r="246" ht="18" customHeight="1">
      <c r="A246" s="26">
        <f>IF(B246="","",ROW()-4)</f>
        <v/>
      </c>
      <c r="B246" s="15" t="n"/>
      <c r="C246" s="20">
        <f>IF(B246="","",IFERROR(VLOOKUP(B246,'📦产品库'!$B$4:$D$9999,2,0),"⚠️未找到"))</f>
        <v/>
      </c>
      <c r="D246" s="21">
        <f>IF(B246="","",IFERROR(VLOOKUP(B246,'📦产品库'!$B$4:$E$9999,4,0),""))</f>
        <v/>
      </c>
      <c r="E246" s="21">
        <f>IF(B246="","",IFERROR(VLOOKUP(B246,'📦产品库'!$B$4:$F$9999,5,0),""))</f>
        <v/>
      </c>
      <c r="F246" s="22">
        <f>IF(B246="","",IFERROR(VLOOKUP(B246,'📦产品库'!$B$4:$G$9999,6,0),""))</f>
        <v/>
      </c>
      <c r="G246" s="16" t="n"/>
      <c r="H246" s="23">
        <f>IF(B246="","",1)</f>
        <v/>
      </c>
      <c r="I246" s="17">
        <f>IF(B246="","",IF(G246&lt;&gt;"",G246*H246,F246*H246))</f>
        <v/>
      </c>
      <c r="J246" s="24" t="n"/>
      <c r="K246" s="18">
        <f>IF(B246="","",IF(G246&gt;=2000,20,IF(G246&gt;=1000,10,0)))</f>
        <v/>
      </c>
      <c r="L246" s="27" t="n"/>
    </row>
    <row r="247" ht="18" customHeight="1">
      <c r="A247" s="19">
        <f>IF(B247="","",ROW()-4)</f>
        <v/>
      </c>
      <c r="B247" s="15" t="n"/>
      <c r="C247" s="20">
        <f>IF(B247="","",IFERROR(VLOOKUP(B247,'📦产品库'!$B$4:$D$9999,2,0),"⚠️未找到"))</f>
        <v/>
      </c>
      <c r="D247" s="21">
        <f>IF(B247="","",IFERROR(VLOOKUP(B247,'📦产品库'!$B$4:$E$9999,4,0),""))</f>
        <v/>
      </c>
      <c r="E247" s="21">
        <f>IF(B247="","",IFERROR(VLOOKUP(B247,'📦产品库'!$B$4:$F$9999,5,0),""))</f>
        <v/>
      </c>
      <c r="F247" s="22">
        <f>IF(B247="","",IFERROR(VLOOKUP(B247,'📦产品库'!$B$4:$G$9999,6,0),""))</f>
        <v/>
      </c>
      <c r="G247" s="16" t="n"/>
      <c r="H247" s="23">
        <f>IF(B247="","",1)</f>
        <v/>
      </c>
      <c r="I247" s="17">
        <f>IF(B247="","",IF(G247&lt;&gt;"",G247*H247,F247*H247))</f>
        <v/>
      </c>
      <c r="J247" s="24" t="n"/>
      <c r="K247" s="18">
        <f>IF(B247="","",IF(G247&gt;=2000,20,IF(G247&gt;=1000,10,0)))</f>
        <v/>
      </c>
      <c r="L247" s="25" t="n"/>
    </row>
    <row r="248" ht="18" customHeight="1">
      <c r="A248" s="26">
        <f>IF(B248="","",ROW()-4)</f>
        <v/>
      </c>
      <c r="B248" s="15" t="n"/>
      <c r="C248" s="20">
        <f>IF(B248="","",IFERROR(VLOOKUP(B248,'📦产品库'!$B$4:$D$9999,2,0),"⚠️未找到"))</f>
        <v/>
      </c>
      <c r="D248" s="21">
        <f>IF(B248="","",IFERROR(VLOOKUP(B248,'📦产品库'!$B$4:$E$9999,4,0),""))</f>
        <v/>
      </c>
      <c r="E248" s="21">
        <f>IF(B248="","",IFERROR(VLOOKUP(B248,'📦产品库'!$B$4:$F$9999,5,0),""))</f>
        <v/>
      </c>
      <c r="F248" s="22">
        <f>IF(B248="","",IFERROR(VLOOKUP(B248,'📦产品库'!$B$4:$G$9999,6,0),""))</f>
        <v/>
      </c>
      <c r="G248" s="16" t="n"/>
      <c r="H248" s="23">
        <f>IF(B248="","",1)</f>
        <v/>
      </c>
      <c r="I248" s="17">
        <f>IF(B248="","",IF(G248&lt;&gt;"",G248*H248,F248*H248))</f>
        <v/>
      </c>
      <c r="J248" s="24" t="n"/>
      <c r="K248" s="18">
        <f>IF(B248="","",IF(G248&gt;=2000,20,IF(G248&gt;=1000,10,0)))</f>
        <v/>
      </c>
      <c r="L248" s="27" t="n"/>
    </row>
    <row r="249" ht="18" customHeight="1">
      <c r="A249" s="19">
        <f>IF(B249="","",ROW()-4)</f>
        <v/>
      </c>
      <c r="B249" s="15" t="n"/>
      <c r="C249" s="20">
        <f>IF(B249="","",IFERROR(VLOOKUP(B249,'📦产品库'!$B$4:$D$9999,2,0),"⚠️未找到"))</f>
        <v/>
      </c>
      <c r="D249" s="21">
        <f>IF(B249="","",IFERROR(VLOOKUP(B249,'📦产品库'!$B$4:$E$9999,4,0),""))</f>
        <v/>
      </c>
      <c r="E249" s="21">
        <f>IF(B249="","",IFERROR(VLOOKUP(B249,'📦产品库'!$B$4:$F$9999,5,0),""))</f>
        <v/>
      </c>
      <c r="F249" s="22">
        <f>IF(B249="","",IFERROR(VLOOKUP(B249,'📦产品库'!$B$4:$G$9999,6,0),""))</f>
        <v/>
      </c>
      <c r="G249" s="16" t="n"/>
      <c r="H249" s="23">
        <f>IF(B249="","",1)</f>
        <v/>
      </c>
      <c r="I249" s="17">
        <f>IF(B249="","",IF(G249&lt;&gt;"",G249*H249,F249*H249))</f>
        <v/>
      </c>
      <c r="J249" s="24" t="n"/>
      <c r="K249" s="18">
        <f>IF(B249="","",IF(G249&gt;=2000,20,IF(G249&gt;=1000,10,0)))</f>
        <v/>
      </c>
      <c r="L249" s="25" t="n"/>
    </row>
    <row r="250" ht="18" customHeight="1">
      <c r="A250" s="26">
        <f>IF(B250="","",ROW()-4)</f>
        <v/>
      </c>
      <c r="B250" s="15" t="n"/>
      <c r="C250" s="20">
        <f>IF(B250="","",IFERROR(VLOOKUP(B250,'📦产品库'!$B$4:$D$9999,2,0),"⚠️未找到"))</f>
        <v/>
      </c>
      <c r="D250" s="21">
        <f>IF(B250="","",IFERROR(VLOOKUP(B250,'📦产品库'!$B$4:$E$9999,4,0),""))</f>
        <v/>
      </c>
      <c r="E250" s="21">
        <f>IF(B250="","",IFERROR(VLOOKUP(B250,'📦产品库'!$B$4:$F$9999,5,0),""))</f>
        <v/>
      </c>
      <c r="F250" s="22">
        <f>IF(B250="","",IFERROR(VLOOKUP(B250,'📦产品库'!$B$4:$G$9999,6,0),""))</f>
        <v/>
      </c>
      <c r="G250" s="16" t="n"/>
      <c r="H250" s="23">
        <f>IF(B250="","",1)</f>
        <v/>
      </c>
      <c r="I250" s="17">
        <f>IF(B250="","",IF(G250&lt;&gt;"",G250*H250,F250*H250))</f>
        <v/>
      </c>
      <c r="J250" s="24" t="n"/>
      <c r="K250" s="18">
        <f>IF(B250="","",IF(G250&gt;=2000,20,IF(G250&gt;=1000,10,0)))</f>
        <v/>
      </c>
      <c r="L250" s="27" t="n"/>
    </row>
    <row r="251" ht="18" customHeight="1">
      <c r="A251" s="19">
        <f>IF(B251="","",ROW()-4)</f>
        <v/>
      </c>
      <c r="B251" s="15" t="n"/>
      <c r="C251" s="20">
        <f>IF(B251="","",IFERROR(VLOOKUP(B251,'📦产品库'!$B$4:$D$9999,2,0),"⚠️未找到"))</f>
        <v/>
      </c>
      <c r="D251" s="21">
        <f>IF(B251="","",IFERROR(VLOOKUP(B251,'📦产品库'!$B$4:$E$9999,4,0),""))</f>
        <v/>
      </c>
      <c r="E251" s="21">
        <f>IF(B251="","",IFERROR(VLOOKUP(B251,'📦产品库'!$B$4:$F$9999,5,0),""))</f>
        <v/>
      </c>
      <c r="F251" s="22">
        <f>IF(B251="","",IFERROR(VLOOKUP(B251,'📦产品库'!$B$4:$G$9999,6,0),""))</f>
        <v/>
      </c>
      <c r="G251" s="16" t="n"/>
      <c r="H251" s="23">
        <f>IF(B251="","",1)</f>
        <v/>
      </c>
      <c r="I251" s="17">
        <f>IF(B251="","",IF(G251&lt;&gt;"",G251*H251,F251*H251))</f>
        <v/>
      </c>
      <c r="J251" s="24" t="n"/>
      <c r="K251" s="18">
        <f>IF(B251="","",IF(G251&gt;=2000,20,IF(G251&gt;=1000,10,0)))</f>
        <v/>
      </c>
      <c r="L251" s="25" t="n"/>
    </row>
    <row r="252" ht="18" customHeight="1">
      <c r="A252" s="26">
        <f>IF(B252="","",ROW()-4)</f>
        <v/>
      </c>
      <c r="B252" s="15" t="n"/>
      <c r="C252" s="20">
        <f>IF(B252="","",IFERROR(VLOOKUP(B252,'📦产品库'!$B$4:$D$9999,2,0),"⚠️未找到"))</f>
        <v/>
      </c>
      <c r="D252" s="21">
        <f>IF(B252="","",IFERROR(VLOOKUP(B252,'📦产品库'!$B$4:$E$9999,4,0),""))</f>
        <v/>
      </c>
      <c r="E252" s="21">
        <f>IF(B252="","",IFERROR(VLOOKUP(B252,'📦产品库'!$B$4:$F$9999,5,0),""))</f>
        <v/>
      </c>
      <c r="F252" s="22">
        <f>IF(B252="","",IFERROR(VLOOKUP(B252,'📦产品库'!$B$4:$G$9999,6,0),""))</f>
        <v/>
      </c>
      <c r="G252" s="16" t="n"/>
      <c r="H252" s="23">
        <f>IF(B252="","",1)</f>
        <v/>
      </c>
      <c r="I252" s="17">
        <f>IF(B252="","",IF(G252&lt;&gt;"",G252*H252,F252*H252))</f>
        <v/>
      </c>
      <c r="J252" s="24" t="n"/>
      <c r="K252" s="18">
        <f>IF(B252="","",IF(G252&gt;=2000,20,IF(G252&gt;=1000,10,0)))</f>
        <v/>
      </c>
      <c r="L252" s="27" t="n"/>
    </row>
    <row r="253" ht="18" customHeight="1">
      <c r="A253" s="19">
        <f>IF(B253="","",ROW()-4)</f>
        <v/>
      </c>
      <c r="B253" s="15" t="n"/>
      <c r="C253" s="20">
        <f>IF(B253="","",IFERROR(VLOOKUP(B253,'📦产品库'!$B$4:$D$9999,2,0),"⚠️未找到"))</f>
        <v/>
      </c>
      <c r="D253" s="21">
        <f>IF(B253="","",IFERROR(VLOOKUP(B253,'📦产品库'!$B$4:$E$9999,4,0),""))</f>
        <v/>
      </c>
      <c r="E253" s="21">
        <f>IF(B253="","",IFERROR(VLOOKUP(B253,'📦产品库'!$B$4:$F$9999,5,0),""))</f>
        <v/>
      </c>
      <c r="F253" s="22">
        <f>IF(B253="","",IFERROR(VLOOKUP(B253,'📦产品库'!$B$4:$G$9999,6,0),""))</f>
        <v/>
      </c>
      <c r="G253" s="16" t="n"/>
      <c r="H253" s="23">
        <f>IF(B253="","",1)</f>
        <v/>
      </c>
      <c r="I253" s="17">
        <f>IF(B253="","",IF(G253&lt;&gt;"",G253*H253,F253*H253))</f>
        <v/>
      </c>
      <c r="J253" s="24" t="n"/>
      <c r="K253" s="18">
        <f>IF(B253="","",IF(G253&gt;=2000,20,IF(G253&gt;=1000,10,0)))</f>
        <v/>
      </c>
      <c r="L253" s="25" t="n"/>
    </row>
    <row r="254" ht="18" customHeight="1">
      <c r="A254" s="26">
        <f>IF(B254="","",ROW()-4)</f>
        <v/>
      </c>
      <c r="B254" s="15" t="n"/>
      <c r="C254" s="20">
        <f>IF(B254="","",IFERROR(VLOOKUP(B254,'📦产品库'!$B$4:$D$9999,2,0),"⚠️未找到"))</f>
        <v/>
      </c>
      <c r="D254" s="21">
        <f>IF(B254="","",IFERROR(VLOOKUP(B254,'📦产品库'!$B$4:$E$9999,4,0),""))</f>
        <v/>
      </c>
      <c r="E254" s="21">
        <f>IF(B254="","",IFERROR(VLOOKUP(B254,'📦产品库'!$B$4:$F$9999,5,0),""))</f>
        <v/>
      </c>
      <c r="F254" s="22">
        <f>IF(B254="","",IFERROR(VLOOKUP(B254,'📦产品库'!$B$4:$G$9999,6,0),""))</f>
        <v/>
      </c>
      <c r="G254" s="16" t="n"/>
      <c r="H254" s="23">
        <f>IF(B254="","",1)</f>
        <v/>
      </c>
      <c r="I254" s="17">
        <f>IF(B254="","",IF(G254&lt;&gt;"",G254*H254,F254*H254))</f>
        <v/>
      </c>
      <c r="J254" s="24" t="n"/>
      <c r="K254" s="18">
        <f>IF(B254="","",IF(G254&gt;=2000,20,IF(G254&gt;=1000,10,0)))</f>
        <v/>
      </c>
      <c r="L254" s="27" t="n"/>
    </row>
    <row r="255" ht="18" customHeight="1">
      <c r="A255" s="19">
        <f>IF(B255="","",ROW()-4)</f>
        <v/>
      </c>
      <c r="B255" s="15" t="n"/>
      <c r="C255" s="20">
        <f>IF(B255="","",IFERROR(VLOOKUP(B255,'📦产品库'!$B$4:$D$9999,2,0),"⚠️未找到"))</f>
        <v/>
      </c>
      <c r="D255" s="21">
        <f>IF(B255="","",IFERROR(VLOOKUP(B255,'📦产品库'!$B$4:$E$9999,4,0),""))</f>
        <v/>
      </c>
      <c r="E255" s="21">
        <f>IF(B255="","",IFERROR(VLOOKUP(B255,'📦产品库'!$B$4:$F$9999,5,0),""))</f>
        <v/>
      </c>
      <c r="F255" s="22">
        <f>IF(B255="","",IFERROR(VLOOKUP(B255,'📦产品库'!$B$4:$G$9999,6,0),""))</f>
        <v/>
      </c>
      <c r="G255" s="16" t="n"/>
      <c r="H255" s="23">
        <f>IF(B255="","",1)</f>
        <v/>
      </c>
      <c r="I255" s="17">
        <f>IF(B255="","",IF(G255&lt;&gt;"",G255*H255,F255*H255))</f>
        <v/>
      </c>
      <c r="J255" s="24" t="n"/>
      <c r="K255" s="18">
        <f>IF(B255="","",IF(G255&gt;=2000,20,IF(G255&gt;=1000,10,0)))</f>
        <v/>
      </c>
      <c r="L255" s="25" t="n"/>
    </row>
    <row r="256" ht="18" customHeight="1">
      <c r="A256" s="26">
        <f>IF(B256="","",ROW()-4)</f>
        <v/>
      </c>
      <c r="B256" s="15" t="n"/>
      <c r="C256" s="20">
        <f>IF(B256="","",IFERROR(VLOOKUP(B256,'📦产品库'!$B$4:$D$9999,2,0),"⚠️未找到"))</f>
        <v/>
      </c>
      <c r="D256" s="21">
        <f>IF(B256="","",IFERROR(VLOOKUP(B256,'📦产品库'!$B$4:$E$9999,4,0),""))</f>
        <v/>
      </c>
      <c r="E256" s="21">
        <f>IF(B256="","",IFERROR(VLOOKUP(B256,'📦产品库'!$B$4:$F$9999,5,0),""))</f>
        <v/>
      </c>
      <c r="F256" s="22">
        <f>IF(B256="","",IFERROR(VLOOKUP(B256,'📦产品库'!$B$4:$G$9999,6,0),""))</f>
        <v/>
      </c>
      <c r="G256" s="16" t="n"/>
      <c r="H256" s="23">
        <f>IF(B256="","",1)</f>
        <v/>
      </c>
      <c r="I256" s="17">
        <f>IF(B256="","",IF(G256&lt;&gt;"",G256*H256,F256*H256))</f>
        <v/>
      </c>
      <c r="J256" s="24" t="n"/>
      <c r="K256" s="18">
        <f>IF(B256="","",IF(G256&gt;=2000,20,IF(G256&gt;=1000,10,0)))</f>
        <v/>
      </c>
      <c r="L256" s="27" t="n"/>
    </row>
    <row r="257" ht="18" customHeight="1">
      <c r="A257" s="19">
        <f>IF(B257="","",ROW()-4)</f>
        <v/>
      </c>
      <c r="B257" s="15" t="n"/>
      <c r="C257" s="20">
        <f>IF(B257="","",IFERROR(VLOOKUP(B257,'📦产品库'!$B$4:$D$9999,2,0),"⚠️未找到"))</f>
        <v/>
      </c>
      <c r="D257" s="21">
        <f>IF(B257="","",IFERROR(VLOOKUP(B257,'📦产品库'!$B$4:$E$9999,4,0),""))</f>
        <v/>
      </c>
      <c r="E257" s="21">
        <f>IF(B257="","",IFERROR(VLOOKUP(B257,'📦产品库'!$B$4:$F$9999,5,0),""))</f>
        <v/>
      </c>
      <c r="F257" s="22">
        <f>IF(B257="","",IFERROR(VLOOKUP(B257,'📦产品库'!$B$4:$G$9999,6,0),""))</f>
        <v/>
      </c>
      <c r="G257" s="16" t="n"/>
      <c r="H257" s="23">
        <f>IF(B257="","",1)</f>
        <v/>
      </c>
      <c r="I257" s="17">
        <f>IF(B257="","",IF(G257&lt;&gt;"",G257*H257,F257*H257))</f>
        <v/>
      </c>
      <c r="J257" s="24" t="n"/>
      <c r="K257" s="18">
        <f>IF(B257="","",IF(G257&gt;=2000,20,IF(G257&gt;=1000,10,0)))</f>
        <v/>
      </c>
      <c r="L257" s="25" t="n"/>
    </row>
    <row r="258" ht="18" customHeight="1">
      <c r="A258" s="26">
        <f>IF(B258="","",ROW()-4)</f>
        <v/>
      </c>
      <c r="B258" s="15" t="n"/>
      <c r="C258" s="20">
        <f>IF(B258="","",IFERROR(VLOOKUP(B258,'📦产品库'!$B$4:$D$9999,2,0),"⚠️未找到"))</f>
        <v/>
      </c>
      <c r="D258" s="21">
        <f>IF(B258="","",IFERROR(VLOOKUP(B258,'📦产品库'!$B$4:$E$9999,4,0),""))</f>
        <v/>
      </c>
      <c r="E258" s="21">
        <f>IF(B258="","",IFERROR(VLOOKUP(B258,'📦产品库'!$B$4:$F$9999,5,0),""))</f>
        <v/>
      </c>
      <c r="F258" s="22">
        <f>IF(B258="","",IFERROR(VLOOKUP(B258,'📦产品库'!$B$4:$G$9999,6,0),""))</f>
        <v/>
      </c>
      <c r="G258" s="16" t="n"/>
      <c r="H258" s="23">
        <f>IF(B258="","",1)</f>
        <v/>
      </c>
      <c r="I258" s="17">
        <f>IF(B258="","",IF(G258&lt;&gt;"",G258*H258,F258*H258))</f>
        <v/>
      </c>
      <c r="J258" s="24" t="n"/>
      <c r="K258" s="18">
        <f>IF(B258="","",IF(G258&gt;=2000,20,IF(G258&gt;=1000,10,0)))</f>
        <v/>
      </c>
      <c r="L258" s="27" t="n"/>
    </row>
    <row r="259" ht="18" customHeight="1">
      <c r="A259" s="19">
        <f>IF(B259="","",ROW()-4)</f>
        <v/>
      </c>
      <c r="B259" s="15" t="n"/>
      <c r="C259" s="20">
        <f>IF(B259="","",IFERROR(VLOOKUP(B259,'📦产品库'!$B$4:$D$9999,2,0),"⚠️未找到"))</f>
        <v/>
      </c>
      <c r="D259" s="21">
        <f>IF(B259="","",IFERROR(VLOOKUP(B259,'📦产品库'!$B$4:$E$9999,4,0),""))</f>
        <v/>
      </c>
      <c r="E259" s="21">
        <f>IF(B259="","",IFERROR(VLOOKUP(B259,'📦产品库'!$B$4:$F$9999,5,0),""))</f>
        <v/>
      </c>
      <c r="F259" s="22">
        <f>IF(B259="","",IFERROR(VLOOKUP(B259,'📦产品库'!$B$4:$G$9999,6,0),""))</f>
        <v/>
      </c>
      <c r="G259" s="16" t="n"/>
      <c r="H259" s="23">
        <f>IF(B259="","",1)</f>
        <v/>
      </c>
      <c r="I259" s="17">
        <f>IF(B259="","",IF(G259&lt;&gt;"",G259*H259,F259*H259))</f>
        <v/>
      </c>
      <c r="J259" s="24" t="n"/>
      <c r="K259" s="18">
        <f>IF(B259="","",IF(G259&gt;=2000,20,IF(G259&gt;=1000,10,0)))</f>
        <v/>
      </c>
      <c r="L259" s="25" t="n"/>
    </row>
    <row r="260" ht="18" customHeight="1">
      <c r="A260" s="26">
        <f>IF(B260="","",ROW()-4)</f>
        <v/>
      </c>
      <c r="B260" s="15" t="n"/>
      <c r="C260" s="20">
        <f>IF(B260="","",IFERROR(VLOOKUP(B260,'📦产品库'!$B$4:$D$9999,2,0),"⚠️未找到"))</f>
        <v/>
      </c>
      <c r="D260" s="21">
        <f>IF(B260="","",IFERROR(VLOOKUP(B260,'📦产品库'!$B$4:$E$9999,4,0),""))</f>
        <v/>
      </c>
      <c r="E260" s="21">
        <f>IF(B260="","",IFERROR(VLOOKUP(B260,'📦产品库'!$B$4:$F$9999,5,0),""))</f>
        <v/>
      </c>
      <c r="F260" s="22">
        <f>IF(B260="","",IFERROR(VLOOKUP(B260,'📦产品库'!$B$4:$G$9999,6,0),""))</f>
        <v/>
      </c>
      <c r="G260" s="16" t="n"/>
      <c r="H260" s="23">
        <f>IF(B260="","",1)</f>
        <v/>
      </c>
      <c r="I260" s="17">
        <f>IF(B260="","",IF(G260&lt;&gt;"",G260*H260,F260*H260))</f>
        <v/>
      </c>
      <c r="J260" s="24" t="n"/>
      <c r="K260" s="18">
        <f>IF(B260="","",IF(G260&gt;=2000,20,IF(G260&gt;=1000,10,0)))</f>
        <v/>
      </c>
      <c r="L260" s="27" t="n"/>
    </row>
    <row r="261" ht="18" customHeight="1">
      <c r="A261" s="19">
        <f>IF(B261="","",ROW()-4)</f>
        <v/>
      </c>
      <c r="B261" s="15" t="n"/>
      <c r="C261" s="20">
        <f>IF(B261="","",IFERROR(VLOOKUP(B261,'📦产品库'!$B$4:$D$9999,2,0),"⚠️未找到"))</f>
        <v/>
      </c>
      <c r="D261" s="21">
        <f>IF(B261="","",IFERROR(VLOOKUP(B261,'📦产品库'!$B$4:$E$9999,4,0),""))</f>
        <v/>
      </c>
      <c r="E261" s="21">
        <f>IF(B261="","",IFERROR(VLOOKUP(B261,'📦产品库'!$B$4:$F$9999,5,0),""))</f>
        <v/>
      </c>
      <c r="F261" s="22">
        <f>IF(B261="","",IFERROR(VLOOKUP(B261,'📦产品库'!$B$4:$G$9999,6,0),""))</f>
        <v/>
      </c>
      <c r="G261" s="16" t="n"/>
      <c r="H261" s="23">
        <f>IF(B261="","",1)</f>
        <v/>
      </c>
      <c r="I261" s="17">
        <f>IF(B261="","",IF(G261&lt;&gt;"",G261*H261,F261*H261))</f>
        <v/>
      </c>
      <c r="J261" s="24" t="n"/>
      <c r="K261" s="18">
        <f>IF(B261="","",IF(G261&gt;=2000,20,IF(G261&gt;=1000,10,0)))</f>
        <v/>
      </c>
      <c r="L261" s="25" t="n"/>
    </row>
    <row r="262" ht="18" customHeight="1">
      <c r="A262" s="26">
        <f>IF(B262="","",ROW()-4)</f>
        <v/>
      </c>
      <c r="B262" s="15" t="n"/>
      <c r="C262" s="20">
        <f>IF(B262="","",IFERROR(VLOOKUP(B262,'📦产品库'!$B$4:$D$9999,2,0),"⚠️未找到"))</f>
        <v/>
      </c>
      <c r="D262" s="21">
        <f>IF(B262="","",IFERROR(VLOOKUP(B262,'📦产品库'!$B$4:$E$9999,4,0),""))</f>
        <v/>
      </c>
      <c r="E262" s="21">
        <f>IF(B262="","",IFERROR(VLOOKUP(B262,'📦产品库'!$B$4:$F$9999,5,0),""))</f>
        <v/>
      </c>
      <c r="F262" s="22">
        <f>IF(B262="","",IFERROR(VLOOKUP(B262,'📦产品库'!$B$4:$G$9999,6,0),""))</f>
        <v/>
      </c>
      <c r="G262" s="16" t="n"/>
      <c r="H262" s="23">
        <f>IF(B262="","",1)</f>
        <v/>
      </c>
      <c r="I262" s="17">
        <f>IF(B262="","",IF(G262&lt;&gt;"",G262*H262,F262*H262))</f>
        <v/>
      </c>
      <c r="J262" s="24" t="n"/>
      <c r="K262" s="18">
        <f>IF(B262="","",IF(G262&gt;=2000,20,IF(G262&gt;=1000,10,0)))</f>
        <v/>
      </c>
      <c r="L262" s="27" t="n"/>
    </row>
    <row r="263" ht="18" customHeight="1">
      <c r="A263" s="19">
        <f>IF(B263="","",ROW()-4)</f>
        <v/>
      </c>
      <c r="B263" s="15" t="n"/>
      <c r="C263" s="20">
        <f>IF(B263="","",IFERROR(VLOOKUP(B263,'📦产品库'!$B$4:$D$9999,2,0),"⚠️未找到"))</f>
        <v/>
      </c>
      <c r="D263" s="21">
        <f>IF(B263="","",IFERROR(VLOOKUP(B263,'📦产品库'!$B$4:$E$9999,4,0),""))</f>
        <v/>
      </c>
      <c r="E263" s="21">
        <f>IF(B263="","",IFERROR(VLOOKUP(B263,'📦产品库'!$B$4:$F$9999,5,0),""))</f>
        <v/>
      </c>
      <c r="F263" s="22">
        <f>IF(B263="","",IFERROR(VLOOKUP(B263,'📦产品库'!$B$4:$G$9999,6,0),""))</f>
        <v/>
      </c>
      <c r="G263" s="16" t="n"/>
      <c r="H263" s="23">
        <f>IF(B263="","",1)</f>
        <v/>
      </c>
      <c r="I263" s="17">
        <f>IF(B263="","",IF(G263&lt;&gt;"",G263*H263,F263*H263))</f>
        <v/>
      </c>
      <c r="J263" s="24" t="n"/>
      <c r="K263" s="18">
        <f>IF(B263="","",IF(G263&gt;=2000,20,IF(G263&gt;=1000,10,0)))</f>
        <v/>
      </c>
      <c r="L263" s="25" t="n"/>
    </row>
    <row r="264" ht="18" customHeight="1">
      <c r="A264" s="26">
        <f>IF(B264="","",ROW()-4)</f>
        <v/>
      </c>
      <c r="B264" s="15" t="n"/>
      <c r="C264" s="20">
        <f>IF(B264="","",IFERROR(VLOOKUP(B264,'📦产品库'!$B$4:$D$9999,2,0),"⚠️未找到"))</f>
        <v/>
      </c>
      <c r="D264" s="21">
        <f>IF(B264="","",IFERROR(VLOOKUP(B264,'📦产品库'!$B$4:$E$9999,4,0),""))</f>
        <v/>
      </c>
      <c r="E264" s="21">
        <f>IF(B264="","",IFERROR(VLOOKUP(B264,'📦产品库'!$B$4:$F$9999,5,0),""))</f>
        <v/>
      </c>
      <c r="F264" s="22">
        <f>IF(B264="","",IFERROR(VLOOKUP(B264,'📦产品库'!$B$4:$G$9999,6,0),""))</f>
        <v/>
      </c>
      <c r="G264" s="16" t="n"/>
      <c r="H264" s="23">
        <f>IF(B264="","",1)</f>
        <v/>
      </c>
      <c r="I264" s="17">
        <f>IF(B264="","",IF(G264&lt;&gt;"",G264*H264,F264*H264))</f>
        <v/>
      </c>
      <c r="J264" s="24" t="n"/>
      <c r="K264" s="18">
        <f>IF(B264="","",IF(G264&gt;=2000,20,IF(G264&gt;=1000,10,0)))</f>
        <v/>
      </c>
      <c r="L264" s="27" t="n"/>
    </row>
    <row r="265" ht="18" customHeight="1">
      <c r="A265" s="19">
        <f>IF(B265="","",ROW()-4)</f>
        <v/>
      </c>
      <c r="B265" s="15" t="n"/>
      <c r="C265" s="20">
        <f>IF(B265="","",IFERROR(VLOOKUP(B265,'📦产品库'!$B$4:$D$9999,2,0),"⚠️未找到"))</f>
        <v/>
      </c>
      <c r="D265" s="21">
        <f>IF(B265="","",IFERROR(VLOOKUP(B265,'📦产品库'!$B$4:$E$9999,4,0),""))</f>
        <v/>
      </c>
      <c r="E265" s="21">
        <f>IF(B265="","",IFERROR(VLOOKUP(B265,'📦产品库'!$B$4:$F$9999,5,0),""))</f>
        <v/>
      </c>
      <c r="F265" s="22">
        <f>IF(B265="","",IFERROR(VLOOKUP(B265,'📦产品库'!$B$4:$G$9999,6,0),""))</f>
        <v/>
      </c>
      <c r="G265" s="16" t="n"/>
      <c r="H265" s="23">
        <f>IF(B265="","",1)</f>
        <v/>
      </c>
      <c r="I265" s="17">
        <f>IF(B265="","",IF(G265&lt;&gt;"",G265*H265,F265*H265))</f>
        <v/>
      </c>
      <c r="J265" s="24" t="n"/>
      <c r="K265" s="18">
        <f>IF(B265="","",IF(G265&gt;=2000,20,IF(G265&gt;=1000,10,0)))</f>
        <v/>
      </c>
      <c r="L265" s="25" t="n"/>
    </row>
    <row r="266" ht="18" customHeight="1">
      <c r="A266" s="26">
        <f>IF(B266="","",ROW()-4)</f>
        <v/>
      </c>
      <c r="B266" s="15" t="n"/>
      <c r="C266" s="20">
        <f>IF(B266="","",IFERROR(VLOOKUP(B266,'📦产品库'!$B$4:$D$9999,2,0),"⚠️未找到"))</f>
        <v/>
      </c>
      <c r="D266" s="21">
        <f>IF(B266="","",IFERROR(VLOOKUP(B266,'📦产品库'!$B$4:$E$9999,4,0),""))</f>
        <v/>
      </c>
      <c r="E266" s="21">
        <f>IF(B266="","",IFERROR(VLOOKUP(B266,'📦产品库'!$B$4:$F$9999,5,0),""))</f>
        <v/>
      </c>
      <c r="F266" s="22">
        <f>IF(B266="","",IFERROR(VLOOKUP(B266,'📦产品库'!$B$4:$G$9999,6,0),""))</f>
        <v/>
      </c>
      <c r="G266" s="16" t="n"/>
      <c r="H266" s="23">
        <f>IF(B266="","",1)</f>
        <v/>
      </c>
      <c r="I266" s="17">
        <f>IF(B266="","",IF(G266&lt;&gt;"",G266*H266,F266*H266))</f>
        <v/>
      </c>
      <c r="J266" s="24" t="n"/>
      <c r="K266" s="18">
        <f>IF(B266="","",IF(G266&gt;=2000,20,IF(G266&gt;=1000,10,0)))</f>
        <v/>
      </c>
      <c r="L266" s="27" t="n"/>
    </row>
    <row r="267" ht="18" customHeight="1">
      <c r="A267" s="19">
        <f>IF(B267="","",ROW()-4)</f>
        <v/>
      </c>
      <c r="B267" s="15" t="n"/>
      <c r="C267" s="20">
        <f>IF(B267="","",IFERROR(VLOOKUP(B267,'📦产品库'!$B$4:$D$9999,2,0),"⚠️未找到"))</f>
        <v/>
      </c>
      <c r="D267" s="21">
        <f>IF(B267="","",IFERROR(VLOOKUP(B267,'📦产品库'!$B$4:$E$9999,4,0),""))</f>
        <v/>
      </c>
      <c r="E267" s="21">
        <f>IF(B267="","",IFERROR(VLOOKUP(B267,'📦产品库'!$B$4:$F$9999,5,0),""))</f>
        <v/>
      </c>
      <c r="F267" s="22">
        <f>IF(B267="","",IFERROR(VLOOKUP(B267,'📦产品库'!$B$4:$G$9999,6,0),""))</f>
        <v/>
      </c>
      <c r="G267" s="16" t="n"/>
      <c r="H267" s="23">
        <f>IF(B267="","",1)</f>
        <v/>
      </c>
      <c r="I267" s="17">
        <f>IF(B267="","",IF(G267&lt;&gt;"",G267*H267,F267*H267))</f>
        <v/>
      </c>
      <c r="J267" s="24" t="n"/>
      <c r="K267" s="18">
        <f>IF(B267="","",IF(G267&gt;=2000,20,IF(G267&gt;=1000,10,0)))</f>
        <v/>
      </c>
      <c r="L267" s="25" t="n"/>
    </row>
    <row r="268" ht="18" customHeight="1">
      <c r="A268" s="26">
        <f>IF(B268="","",ROW()-4)</f>
        <v/>
      </c>
      <c r="B268" s="15" t="n"/>
      <c r="C268" s="20">
        <f>IF(B268="","",IFERROR(VLOOKUP(B268,'📦产品库'!$B$4:$D$9999,2,0),"⚠️未找到"))</f>
        <v/>
      </c>
      <c r="D268" s="21">
        <f>IF(B268="","",IFERROR(VLOOKUP(B268,'📦产品库'!$B$4:$E$9999,4,0),""))</f>
        <v/>
      </c>
      <c r="E268" s="21">
        <f>IF(B268="","",IFERROR(VLOOKUP(B268,'📦产品库'!$B$4:$F$9999,5,0),""))</f>
        <v/>
      </c>
      <c r="F268" s="22">
        <f>IF(B268="","",IFERROR(VLOOKUP(B268,'📦产品库'!$B$4:$G$9999,6,0),""))</f>
        <v/>
      </c>
      <c r="G268" s="16" t="n"/>
      <c r="H268" s="23">
        <f>IF(B268="","",1)</f>
        <v/>
      </c>
      <c r="I268" s="17">
        <f>IF(B268="","",IF(G268&lt;&gt;"",G268*H268,F268*H268))</f>
        <v/>
      </c>
      <c r="J268" s="24" t="n"/>
      <c r="K268" s="18">
        <f>IF(B268="","",IF(G268&gt;=2000,20,IF(G268&gt;=1000,10,0)))</f>
        <v/>
      </c>
      <c r="L268" s="27" t="n"/>
    </row>
    <row r="269" ht="18" customHeight="1">
      <c r="A269" s="19">
        <f>IF(B269="","",ROW()-4)</f>
        <v/>
      </c>
      <c r="B269" s="15" t="n"/>
      <c r="C269" s="20">
        <f>IF(B269="","",IFERROR(VLOOKUP(B269,'📦产品库'!$B$4:$D$9999,2,0),"⚠️未找到"))</f>
        <v/>
      </c>
      <c r="D269" s="21">
        <f>IF(B269="","",IFERROR(VLOOKUP(B269,'📦产品库'!$B$4:$E$9999,4,0),""))</f>
        <v/>
      </c>
      <c r="E269" s="21">
        <f>IF(B269="","",IFERROR(VLOOKUP(B269,'📦产品库'!$B$4:$F$9999,5,0),""))</f>
        <v/>
      </c>
      <c r="F269" s="22">
        <f>IF(B269="","",IFERROR(VLOOKUP(B269,'📦产品库'!$B$4:$G$9999,6,0),""))</f>
        <v/>
      </c>
      <c r="G269" s="16" t="n"/>
      <c r="H269" s="23">
        <f>IF(B269="","",1)</f>
        <v/>
      </c>
      <c r="I269" s="17">
        <f>IF(B269="","",IF(G269&lt;&gt;"",G269*H269,F269*H269))</f>
        <v/>
      </c>
      <c r="J269" s="24" t="n"/>
      <c r="K269" s="18">
        <f>IF(B269="","",IF(G269&gt;=2000,20,IF(G269&gt;=1000,10,0)))</f>
        <v/>
      </c>
      <c r="L269" s="25" t="n"/>
    </row>
    <row r="270" ht="18" customHeight="1">
      <c r="A270" s="26">
        <f>IF(B270="","",ROW()-4)</f>
        <v/>
      </c>
      <c r="B270" s="15" t="n"/>
      <c r="C270" s="20">
        <f>IF(B270="","",IFERROR(VLOOKUP(B270,'📦产品库'!$B$4:$D$9999,2,0),"⚠️未找到"))</f>
        <v/>
      </c>
      <c r="D270" s="21">
        <f>IF(B270="","",IFERROR(VLOOKUP(B270,'📦产品库'!$B$4:$E$9999,4,0),""))</f>
        <v/>
      </c>
      <c r="E270" s="21">
        <f>IF(B270="","",IFERROR(VLOOKUP(B270,'📦产品库'!$B$4:$F$9999,5,0),""))</f>
        <v/>
      </c>
      <c r="F270" s="22">
        <f>IF(B270="","",IFERROR(VLOOKUP(B270,'📦产品库'!$B$4:$G$9999,6,0),""))</f>
        <v/>
      </c>
      <c r="G270" s="16" t="n"/>
      <c r="H270" s="23">
        <f>IF(B270="","",1)</f>
        <v/>
      </c>
      <c r="I270" s="17">
        <f>IF(B270="","",IF(G270&lt;&gt;"",G270*H270,F270*H270))</f>
        <v/>
      </c>
      <c r="J270" s="24" t="n"/>
      <c r="K270" s="18">
        <f>IF(B270="","",IF(G270&gt;=2000,20,IF(G270&gt;=1000,10,0)))</f>
        <v/>
      </c>
      <c r="L270" s="27" t="n"/>
    </row>
    <row r="271" ht="18" customHeight="1">
      <c r="A271" s="19">
        <f>IF(B271="","",ROW()-4)</f>
        <v/>
      </c>
      <c r="B271" s="15" t="n"/>
      <c r="C271" s="20">
        <f>IF(B271="","",IFERROR(VLOOKUP(B271,'📦产品库'!$B$4:$D$9999,2,0),"⚠️未找到"))</f>
        <v/>
      </c>
      <c r="D271" s="21">
        <f>IF(B271="","",IFERROR(VLOOKUP(B271,'📦产品库'!$B$4:$E$9999,4,0),""))</f>
        <v/>
      </c>
      <c r="E271" s="21">
        <f>IF(B271="","",IFERROR(VLOOKUP(B271,'📦产品库'!$B$4:$F$9999,5,0),""))</f>
        <v/>
      </c>
      <c r="F271" s="22">
        <f>IF(B271="","",IFERROR(VLOOKUP(B271,'📦产品库'!$B$4:$G$9999,6,0),""))</f>
        <v/>
      </c>
      <c r="G271" s="16" t="n"/>
      <c r="H271" s="23">
        <f>IF(B271="","",1)</f>
        <v/>
      </c>
      <c r="I271" s="17">
        <f>IF(B271="","",IF(G271&lt;&gt;"",G271*H271,F271*H271))</f>
        <v/>
      </c>
      <c r="J271" s="24" t="n"/>
      <c r="K271" s="18">
        <f>IF(B271="","",IF(G271&gt;=2000,20,IF(G271&gt;=1000,10,0)))</f>
        <v/>
      </c>
      <c r="L271" s="25" t="n"/>
    </row>
    <row r="272" ht="18" customHeight="1">
      <c r="A272" s="26">
        <f>IF(B272="","",ROW()-4)</f>
        <v/>
      </c>
      <c r="B272" s="15" t="n"/>
      <c r="C272" s="20">
        <f>IF(B272="","",IFERROR(VLOOKUP(B272,'📦产品库'!$B$4:$D$9999,2,0),"⚠️未找到"))</f>
        <v/>
      </c>
      <c r="D272" s="21">
        <f>IF(B272="","",IFERROR(VLOOKUP(B272,'📦产品库'!$B$4:$E$9999,4,0),""))</f>
        <v/>
      </c>
      <c r="E272" s="21">
        <f>IF(B272="","",IFERROR(VLOOKUP(B272,'📦产品库'!$B$4:$F$9999,5,0),""))</f>
        <v/>
      </c>
      <c r="F272" s="22">
        <f>IF(B272="","",IFERROR(VLOOKUP(B272,'📦产品库'!$B$4:$G$9999,6,0),""))</f>
        <v/>
      </c>
      <c r="G272" s="16" t="n"/>
      <c r="H272" s="23">
        <f>IF(B272="","",1)</f>
        <v/>
      </c>
      <c r="I272" s="17">
        <f>IF(B272="","",IF(G272&lt;&gt;"",G272*H272,F272*H272))</f>
        <v/>
      </c>
      <c r="J272" s="24" t="n"/>
      <c r="K272" s="18">
        <f>IF(B272="","",IF(G272&gt;=2000,20,IF(G272&gt;=1000,10,0)))</f>
        <v/>
      </c>
      <c r="L272" s="27" t="n"/>
    </row>
    <row r="273" ht="18" customHeight="1">
      <c r="A273" s="19">
        <f>IF(B273="","",ROW()-4)</f>
        <v/>
      </c>
      <c r="B273" s="15" t="n"/>
      <c r="C273" s="20">
        <f>IF(B273="","",IFERROR(VLOOKUP(B273,'📦产品库'!$B$4:$D$9999,2,0),"⚠️未找到"))</f>
        <v/>
      </c>
      <c r="D273" s="21">
        <f>IF(B273="","",IFERROR(VLOOKUP(B273,'📦产品库'!$B$4:$E$9999,4,0),""))</f>
        <v/>
      </c>
      <c r="E273" s="21">
        <f>IF(B273="","",IFERROR(VLOOKUP(B273,'📦产品库'!$B$4:$F$9999,5,0),""))</f>
        <v/>
      </c>
      <c r="F273" s="22">
        <f>IF(B273="","",IFERROR(VLOOKUP(B273,'📦产品库'!$B$4:$G$9999,6,0),""))</f>
        <v/>
      </c>
      <c r="G273" s="16" t="n"/>
      <c r="H273" s="23">
        <f>IF(B273="","",1)</f>
        <v/>
      </c>
      <c r="I273" s="17">
        <f>IF(B273="","",IF(G273&lt;&gt;"",G273*H273,F273*H273))</f>
        <v/>
      </c>
      <c r="J273" s="24" t="n"/>
      <c r="K273" s="18">
        <f>IF(B273="","",IF(G273&gt;=2000,20,IF(G273&gt;=1000,10,0)))</f>
        <v/>
      </c>
      <c r="L273" s="25" t="n"/>
    </row>
    <row r="274" ht="18" customHeight="1">
      <c r="A274" s="26">
        <f>IF(B274="","",ROW()-4)</f>
        <v/>
      </c>
      <c r="B274" s="15" t="n"/>
      <c r="C274" s="20">
        <f>IF(B274="","",IFERROR(VLOOKUP(B274,'📦产品库'!$B$4:$D$9999,2,0),"⚠️未找到"))</f>
        <v/>
      </c>
      <c r="D274" s="21">
        <f>IF(B274="","",IFERROR(VLOOKUP(B274,'📦产品库'!$B$4:$E$9999,4,0),""))</f>
        <v/>
      </c>
      <c r="E274" s="21">
        <f>IF(B274="","",IFERROR(VLOOKUP(B274,'📦产品库'!$B$4:$F$9999,5,0),""))</f>
        <v/>
      </c>
      <c r="F274" s="22">
        <f>IF(B274="","",IFERROR(VLOOKUP(B274,'📦产品库'!$B$4:$G$9999,6,0),""))</f>
        <v/>
      </c>
      <c r="G274" s="16" t="n"/>
      <c r="H274" s="23">
        <f>IF(B274="","",1)</f>
        <v/>
      </c>
      <c r="I274" s="17">
        <f>IF(B274="","",IF(G274&lt;&gt;"",G274*H274,F274*H274))</f>
        <v/>
      </c>
      <c r="J274" s="24" t="n"/>
      <c r="K274" s="18">
        <f>IF(B274="","",IF(G274&gt;=2000,20,IF(G274&gt;=1000,10,0)))</f>
        <v/>
      </c>
      <c r="L274" s="27" t="n"/>
    </row>
    <row r="275" ht="18" customHeight="1">
      <c r="A275" s="19">
        <f>IF(B275="","",ROW()-4)</f>
        <v/>
      </c>
      <c r="B275" s="15" t="n"/>
      <c r="C275" s="20">
        <f>IF(B275="","",IFERROR(VLOOKUP(B275,'📦产品库'!$B$4:$D$9999,2,0),"⚠️未找到"))</f>
        <v/>
      </c>
      <c r="D275" s="21">
        <f>IF(B275="","",IFERROR(VLOOKUP(B275,'📦产品库'!$B$4:$E$9999,4,0),""))</f>
        <v/>
      </c>
      <c r="E275" s="21">
        <f>IF(B275="","",IFERROR(VLOOKUP(B275,'📦产品库'!$B$4:$F$9999,5,0),""))</f>
        <v/>
      </c>
      <c r="F275" s="22">
        <f>IF(B275="","",IFERROR(VLOOKUP(B275,'📦产品库'!$B$4:$G$9999,6,0),""))</f>
        <v/>
      </c>
      <c r="G275" s="16" t="n"/>
      <c r="H275" s="23">
        <f>IF(B275="","",1)</f>
        <v/>
      </c>
      <c r="I275" s="17">
        <f>IF(B275="","",IF(G275&lt;&gt;"",G275*H275,F275*H275))</f>
        <v/>
      </c>
      <c r="J275" s="24" t="n"/>
      <c r="K275" s="18">
        <f>IF(B275="","",IF(G275&gt;=2000,20,IF(G275&gt;=1000,10,0)))</f>
        <v/>
      </c>
      <c r="L275" s="25" t="n"/>
    </row>
    <row r="276" ht="18" customHeight="1">
      <c r="A276" s="26">
        <f>IF(B276="","",ROW()-4)</f>
        <v/>
      </c>
      <c r="B276" s="15" t="n"/>
      <c r="C276" s="20">
        <f>IF(B276="","",IFERROR(VLOOKUP(B276,'📦产品库'!$B$4:$D$9999,2,0),"⚠️未找到"))</f>
        <v/>
      </c>
      <c r="D276" s="21">
        <f>IF(B276="","",IFERROR(VLOOKUP(B276,'📦产品库'!$B$4:$E$9999,4,0),""))</f>
        <v/>
      </c>
      <c r="E276" s="21">
        <f>IF(B276="","",IFERROR(VLOOKUP(B276,'📦产品库'!$B$4:$F$9999,5,0),""))</f>
        <v/>
      </c>
      <c r="F276" s="22">
        <f>IF(B276="","",IFERROR(VLOOKUP(B276,'📦产品库'!$B$4:$G$9999,6,0),""))</f>
        <v/>
      </c>
      <c r="G276" s="16" t="n"/>
      <c r="H276" s="23">
        <f>IF(B276="","",1)</f>
        <v/>
      </c>
      <c r="I276" s="17">
        <f>IF(B276="","",IF(G276&lt;&gt;"",G276*H276,F276*H276))</f>
        <v/>
      </c>
      <c r="J276" s="24" t="n"/>
      <c r="K276" s="18">
        <f>IF(B276="","",IF(G276&gt;=2000,20,IF(G276&gt;=1000,10,0)))</f>
        <v/>
      </c>
      <c r="L276" s="27" t="n"/>
    </row>
    <row r="277" ht="18" customHeight="1">
      <c r="A277" s="19">
        <f>IF(B277="","",ROW()-4)</f>
        <v/>
      </c>
      <c r="B277" s="15" t="n"/>
      <c r="C277" s="20">
        <f>IF(B277="","",IFERROR(VLOOKUP(B277,'📦产品库'!$B$4:$D$9999,2,0),"⚠️未找到"))</f>
        <v/>
      </c>
      <c r="D277" s="21">
        <f>IF(B277="","",IFERROR(VLOOKUP(B277,'📦产品库'!$B$4:$E$9999,4,0),""))</f>
        <v/>
      </c>
      <c r="E277" s="21">
        <f>IF(B277="","",IFERROR(VLOOKUP(B277,'📦产品库'!$B$4:$F$9999,5,0),""))</f>
        <v/>
      </c>
      <c r="F277" s="22">
        <f>IF(B277="","",IFERROR(VLOOKUP(B277,'📦产品库'!$B$4:$G$9999,6,0),""))</f>
        <v/>
      </c>
      <c r="G277" s="16" t="n"/>
      <c r="H277" s="23">
        <f>IF(B277="","",1)</f>
        <v/>
      </c>
      <c r="I277" s="17">
        <f>IF(B277="","",IF(G277&lt;&gt;"",G277*H277,F277*H277))</f>
        <v/>
      </c>
      <c r="J277" s="24" t="n"/>
      <c r="K277" s="18">
        <f>IF(B277="","",IF(G277&gt;=2000,20,IF(G277&gt;=1000,10,0)))</f>
        <v/>
      </c>
      <c r="L277" s="25" t="n"/>
    </row>
    <row r="278" ht="18" customHeight="1">
      <c r="A278" s="26">
        <f>IF(B278="","",ROW()-4)</f>
        <v/>
      </c>
      <c r="B278" s="15" t="n"/>
      <c r="C278" s="20">
        <f>IF(B278="","",IFERROR(VLOOKUP(B278,'📦产品库'!$B$4:$D$9999,2,0),"⚠️未找到"))</f>
        <v/>
      </c>
      <c r="D278" s="21">
        <f>IF(B278="","",IFERROR(VLOOKUP(B278,'📦产品库'!$B$4:$E$9999,4,0),""))</f>
        <v/>
      </c>
      <c r="E278" s="21">
        <f>IF(B278="","",IFERROR(VLOOKUP(B278,'📦产品库'!$B$4:$F$9999,5,0),""))</f>
        <v/>
      </c>
      <c r="F278" s="22">
        <f>IF(B278="","",IFERROR(VLOOKUP(B278,'📦产品库'!$B$4:$G$9999,6,0),""))</f>
        <v/>
      </c>
      <c r="G278" s="16" t="n"/>
      <c r="H278" s="23">
        <f>IF(B278="","",1)</f>
        <v/>
      </c>
      <c r="I278" s="17">
        <f>IF(B278="","",IF(G278&lt;&gt;"",G278*H278,F278*H278))</f>
        <v/>
      </c>
      <c r="J278" s="24" t="n"/>
      <c r="K278" s="18">
        <f>IF(B278="","",IF(G278&gt;=2000,20,IF(G278&gt;=1000,10,0)))</f>
        <v/>
      </c>
      <c r="L278" s="27" t="n"/>
    </row>
    <row r="279" ht="18" customHeight="1">
      <c r="A279" s="19">
        <f>IF(B279="","",ROW()-4)</f>
        <v/>
      </c>
      <c r="B279" s="15" t="n"/>
      <c r="C279" s="20">
        <f>IF(B279="","",IFERROR(VLOOKUP(B279,'📦产品库'!$B$4:$D$9999,2,0),"⚠️未找到"))</f>
        <v/>
      </c>
      <c r="D279" s="21">
        <f>IF(B279="","",IFERROR(VLOOKUP(B279,'📦产品库'!$B$4:$E$9999,4,0),""))</f>
        <v/>
      </c>
      <c r="E279" s="21">
        <f>IF(B279="","",IFERROR(VLOOKUP(B279,'📦产品库'!$B$4:$F$9999,5,0),""))</f>
        <v/>
      </c>
      <c r="F279" s="22">
        <f>IF(B279="","",IFERROR(VLOOKUP(B279,'📦产品库'!$B$4:$G$9999,6,0),""))</f>
        <v/>
      </c>
      <c r="G279" s="16" t="n"/>
      <c r="H279" s="23">
        <f>IF(B279="","",1)</f>
        <v/>
      </c>
      <c r="I279" s="17">
        <f>IF(B279="","",IF(G279&lt;&gt;"",G279*H279,F279*H279))</f>
        <v/>
      </c>
      <c r="J279" s="24" t="n"/>
      <c r="K279" s="18">
        <f>IF(B279="","",IF(G279&gt;=2000,20,IF(G279&gt;=1000,10,0)))</f>
        <v/>
      </c>
      <c r="L279" s="25" t="n"/>
    </row>
    <row r="280" ht="18" customHeight="1">
      <c r="A280" s="26">
        <f>IF(B280="","",ROW()-4)</f>
        <v/>
      </c>
      <c r="B280" s="15" t="n"/>
      <c r="C280" s="20">
        <f>IF(B280="","",IFERROR(VLOOKUP(B280,'📦产品库'!$B$4:$D$9999,2,0),"⚠️未找到"))</f>
        <v/>
      </c>
      <c r="D280" s="21">
        <f>IF(B280="","",IFERROR(VLOOKUP(B280,'📦产品库'!$B$4:$E$9999,4,0),""))</f>
        <v/>
      </c>
      <c r="E280" s="21">
        <f>IF(B280="","",IFERROR(VLOOKUP(B280,'📦产品库'!$B$4:$F$9999,5,0),""))</f>
        <v/>
      </c>
      <c r="F280" s="22">
        <f>IF(B280="","",IFERROR(VLOOKUP(B280,'📦产品库'!$B$4:$G$9999,6,0),""))</f>
        <v/>
      </c>
      <c r="G280" s="16" t="n"/>
      <c r="H280" s="23">
        <f>IF(B280="","",1)</f>
        <v/>
      </c>
      <c r="I280" s="17">
        <f>IF(B280="","",IF(G280&lt;&gt;"",G280*H280,F280*H280))</f>
        <v/>
      </c>
      <c r="J280" s="24" t="n"/>
      <c r="K280" s="18">
        <f>IF(B280="","",IF(G280&gt;=2000,20,IF(G280&gt;=1000,10,0)))</f>
        <v/>
      </c>
      <c r="L280" s="27" t="n"/>
    </row>
    <row r="281" ht="18" customHeight="1">
      <c r="A281" s="19">
        <f>IF(B281="","",ROW()-4)</f>
        <v/>
      </c>
      <c r="B281" s="15" t="n"/>
      <c r="C281" s="20">
        <f>IF(B281="","",IFERROR(VLOOKUP(B281,'📦产品库'!$B$4:$D$9999,2,0),"⚠️未找到"))</f>
        <v/>
      </c>
      <c r="D281" s="21">
        <f>IF(B281="","",IFERROR(VLOOKUP(B281,'📦产品库'!$B$4:$E$9999,4,0),""))</f>
        <v/>
      </c>
      <c r="E281" s="21">
        <f>IF(B281="","",IFERROR(VLOOKUP(B281,'📦产品库'!$B$4:$F$9999,5,0),""))</f>
        <v/>
      </c>
      <c r="F281" s="22">
        <f>IF(B281="","",IFERROR(VLOOKUP(B281,'📦产品库'!$B$4:$G$9999,6,0),""))</f>
        <v/>
      </c>
      <c r="G281" s="16" t="n"/>
      <c r="H281" s="23">
        <f>IF(B281="","",1)</f>
        <v/>
      </c>
      <c r="I281" s="17">
        <f>IF(B281="","",IF(G281&lt;&gt;"",G281*H281,F281*H281))</f>
        <v/>
      </c>
      <c r="J281" s="24" t="n"/>
      <c r="K281" s="18">
        <f>IF(B281="","",IF(G281&gt;=2000,20,IF(G281&gt;=1000,10,0)))</f>
        <v/>
      </c>
      <c r="L281" s="25" t="n"/>
    </row>
    <row r="282" ht="18" customHeight="1">
      <c r="A282" s="26">
        <f>IF(B282="","",ROW()-4)</f>
        <v/>
      </c>
      <c r="B282" s="15" t="n"/>
      <c r="C282" s="20">
        <f>IF(B282="","",IFERROR(VLOOKUP(B282,'📦产品库'!$B$4:$D$9999,2,0),"⚠️未找到"))</f>
        <v/>
      </c>
      <c r="D282" s="21">
        <f>IF(B282="","",IFERROR(VLOOKUP(B282,'📦产品库'!$B$4:$E$9999,4,0),""))</f>
        <v/>
      </c>
      <c r="E282" s="21">
        <f>IF(B282="","",IFERROR(VLOOKUP(B282,'📦产品库'!$B$4:$F$9999,5,0),""))</f>
        <v/>
      </c>
      <c r="F282" s="22">
        <f>IF(B282="","",IFERROR(VLOOKUP(B282,'📦产品库'!$B$4:$G$9999,6,0),""))</f>
        <v/>
      </c>
      <c r="G282" s="16" t="n"/>
      <c r="H282" s="23">
        <f>IF(B282="","",1)</f>
        <v/>
      </c>
      <c r="I282" s="17">
        <f>IF(B282="","",IF(G282&lt;&gt;"",G282*H282,F282*H282))</f>
        <v/>
      </c>
      <c r="J282" s="24" t="n"/>
      <c r="K282" s="18">
        <f>IF(B282="","",IF(G282&gt;=2000,20,IF(G282&gt;=1000,10,0)))</f>
        <v/>
      </c>
      <c r="L282" s="27" t="n"/>
    </row>
    <row r="283" ht="18" customHeight="1">
      <c r="A283" s="19">
        <f>IF(B283="","",ROW()-4)</f>
        <v/>
      </c>
      <c r="B283" s="15" t="n"/>
      <c r="C283" s="20">
        <f>IF(B283="","",IFERROR(VLOOKUP(B283,'📦产品库'!$B$4:$D$9999,2,0),"⚠️未找到"))</f>
        <v/>
      </c>
      <c r="D283" s="21">
        <f>IF(B283="","",IFERROR(VLOOKUP(B283,'📦产品库'!$B$4:$E$9999,4,0),""))</f>
        <v/>
      </c>
      <c r="E283" s="21">
        <f>IF(B283="","",IFERROR(VLOOKUP(B283,'📦产品库'!$B$4:$F$9999,5,0),""))</f>
        <v/>
      </c>
      <c r="F283" s="22">
        <f>IF(B283="","",IFERROR(VLOOKUP(B283,'📦产品库'!$B$4:$G$9999,6,0),""))</f>
        <v/>
      </c>
      <c r="G283" s="16" t="n"/>
      <c r="H283" s="23">
        <f>IF(B283="","",1)</f>
        <v/>
      </c>
      <c r="I283" s="17">
        <f>IF(B283="","",IF(G283&lt;&gt;"",G283*H283,F283*H283))</f>
        <v/>
      </c>
      <c r="J283" s="24" t="n"/>
      <c r="K283" s="18">
        <f>IF(B283="","",IF(G283&gt;=2000,20,IF(G283&gt;=1000,10,0)))</f>
        <v/>
      </c>
      <c r="L283" s="25" t="n"/>
    </row>
    <row r="284" ht="18" customHeight="1">
      <c r="A284" s="26">
        <f>IF(B284="","",ROW()-4)</f>
        <v/>
      </c>
      <c r="B284" s="15" t="n"/>
      <c r="C284" s="20">
        <f>IF(B284="","",IFERROR(VLOOKUP(B284,'📦产品库'!$B$4:$D$9999,2,0),"⚠️未找到"))</f>
        <v/>
      </c>
      <c r="D284" s="21">
        <f>IF(B284="","",IFERROR(VLOOKUP(B284,'📦产品库'!$B$4:$E$9999,4,0),""))</f>
        <v/>
      </c>
      <c r="E284" s="21">
        <f>IF(B284="","",IFERROR(VLOOKUP(B284,'📦产品库'!$B$4:$F$9999,5,0),""))</f>
        <v/>
      </c>
      <c r="F284" s="22">
        <f>IF(B284="","",IFERROR(VLOOKUP(B284,'📦产品库'!$B$4:$G$9999,6,0),""))</f>
        <v/>
      </c>
      <c r="G284" s="16" t="n"/>
      <c r="H284" s="23">
        <f>IF(B284="","",1)</f>
        <v/>
      </c>
      <c r="I284" s="17">
        <f>IF(B284="","",IF(G284&lt;&gt;"",G284*H284,F284*H284))</f>
        <v/>
      </c>
      <c r="J284" s="24" t="n"/>
      <c r="K284" s="18">
        <f>IF(B284="","",IF(G284&gt;=2000,20,IF(G284&gt;=1000,10,0)))</f>
        <v/>
      </c>
      <c r="L284" s="27" t="n"/>
    </row>
    <row r="285" ht="18" customHeight="1">
      <c r="A285" s="19">
        <f>IF(B285="","",ROW()-4)</f>
        <v/>
      </c>
      <c r="B285" s="15" t="n"/>
      <c r="C285" s="20">
        <f>IF(B285="","",IFERROR(VLOOKUP(B285,'📦产品库'!$B$4:$D$9999,2,0),"⚠️未找到"))</f>
        <v/>
      </c>
      <c r="D285" s="21">
        <f>IF(B285="","",IFERROR(VLOOKUP(B285,'📦产品库'!$B$4:$E$9999,4,0),""))</f>
        <v/>
      </c>
      <c r="E285" s="21">
        <f>IF(B285="","",IFERROR(VLOOKUP(B285,'📦产品库'!$B$4:$F$9999,5,0),""))</f>
        <v/>
      </c>
      <c r="F285" s="22">
        <f>IF(B285="","",IFERROR(VLOOKUP(B285,'📦产品库'!$B$4:$G$9999,6,0),""))</f>
        <v/>
      </c>
      <c r="G285" s="16" t="n"/>
      <c r="H285" s="23">
        <f>IF(B285="","",1)</f>
        <v/>
      </c>
      <c r="I285" s="17">
        <f>IF(B285="","",IF(G285&lt;&gt;"",G285*H285,F285*H285))</f>
        <v/>
      </c>
      <c r="J285" s="24" t="n"/>
      <c r="K285" s="18">
        <f>IF(B285="","",IF(G285&gt;=2000,20,IF(G285&gt;=1000,10,0)))</f>
        <v/>
      </c>
      <c r="L285" s="25" t="n"/>
    </row>
    <row r="286" ht="18" customHeight="1">
      <c r="A286" s="26">
        <f>IF(B286="","",ROW()-4)</f>
        <v/>
      </c>
      <c r="B286" s="15" t="n"/>
      <c r="C286" s="20">
        <f>IF(B286="","",IFERROR(VLOOKUP(B286,'📦产品库'!$B$4:$D$9999,2,0),"⚠️未找到"))</f>
        <v/>
      </c>
      <c r="D286" s="21">
        <f>IF(B286="","",IFERROR(VLOOKUP(B286,'📦产品库'!$B$4:$E$9999,4,0),""))</f>
        <v/>
      </c>
      <c r="E286" s="21">
        <f>IF(B286="","",IFERROR(VLOOKUP(B286,'📦产品库'!$B$4:$F$9999,5,0),""))</f>
        <v/>
      </c>
      <c r="F286" s="22">
        <f>IF(B286="","",IFERROR(VLOOKUP(B286,'📦产品库'!$B$4:$G$9999,6,0),""))</f>
        <v/>
      </c>
      <c r="G286" s="16" t="n"/>
      <c r="H286" s="23">
        <f>IF(B286="","",1)</f>
        <v/>
      </c>
      <c r="I286" s="17">
        <f>IF(B286="","",IF(G286&lt;&gt;"",G286*H286,F286*H286))</f>
        <v/>
      </c>
      <c r="J286" s="24" t="n"/>
      <c r="K286" s="18">
        <f>IF(B286="","",IF(G286&gt;=2000,20,IF(G286&gt;=1000,10,0)))</f>
        <v/>
      </c>
      <c r="L286" s="27" t="n"/>
    </row>
    <row r="287" ht="18" customHeight="1">
      <c r="A287" s="19">
        <f>IF(B287="","",ROW()-4)</f>
        <v/>
      </c>
      <c r="B287" s="15" t="n"/>
      <c r="C287" s="20">
        <f>IF(B287="","",IFERROR(VLOOKUP(B287,'📦产品库'!$B$4:$D$9999,2,0),"⚠️未找到"))</f>
        <v/>
      </c>
      <c r="D287" s="21">
        <f>IF(B287="","",IFERROR(VLOOKUP(B287,'📦产品库'!$B$4:$E$9999,4,0),""))</f>
        <v/>
      </c>
      <c r="E287" s="21">
        <f>IF(B287="","",IFERROR(VLOOKUP(B287,'📦产品库'!$B$4:$F$9999,5,0),""))</f>
        <v/>
      </c>
      <c r="F287" s="22">
        <f>IF(B287="","",IFERROR(VLOOKUP(B287,'📦产品库'!$B$4:$G$9999,6,0),""))</f>
        <v/>
      </c>
      <c r="G287" s="16" t="n"/>
      <c r="H287" s="23">
        <f>IF(B287="","",1)</f>
        <v/>
      </c>
      <c r="I287" s="17">
        <f>IF(B287="","",IF(G287&lt;&gt;"",G287*H287,F287*H287))</f>
        <v/>
      </c>
      <c r="J287" s="24" t="n"/>
      <c r="K287" s="18">
        <f>IF(B287="","",IF(G287&gt;=2000,20,IF(G287&gt;=1000,10,0)))</f>
        <v/>
      </c>
      <c r="L287" s="25" t="n"/>
    </row>
    <row r="288" ht="18" customHeight="1">
      <c r="A288" s="26">
        <f>IF(B288="","",ROW()-4)</f>
        <v/>
      </c>
      <c r="B288" s="15" t="n"/>
      <c r="C288" s="20">
        <f>IF(B288="","",IFERROR(VLOOKUP(B288,'📦产品库'!$B$4:$D$9999,2,0),"⚠️未找到"))</f>
        <v/>
      </c>
      <c r="D288" s="21">
        <f>IF(B288="","",IFERROR(VLOOKUP(B288,'📦产品库'!$B$4:$E$9999,4,0),""))</f>
        <v/>
      </c>
      <c r="E288" s="21">
        <f>IF(B288="","",IFERROR(VLOOKUP(B288,'📦产品库'!$B$4:$F$9999,5,0),""))</f>
        <v/>
      </c>
      <c r="F288" s="22">
        <f>IF(B288="","",IFERROR(VLOOKUP(B288,'📦产品库'!$B$4:$G$9999,6,0),""))</f>
        <v/>
      </c>
      <c r="G288" s="16" t="n"/>
      <c r="H288" s="23">
        <f>IF(B288="","",1)</f>
        <v/>
      </c>
      <c r="I288" s="17">
        <f>IF(B288="","",IF(G288&lt;&gt;"",G288*H288,F288*H288))</f>
        <v/>
      </c>
      <c r="J288" s="24" t="n"/>
      <c r="K288" s="18">
        <f>IF(B288="","",IF(G288&gt;=2000,20,IF(G288&gt;=1000,10,0)))</f>
        <v/>
      </c>
      <c r="L288" s="27" t="n"/>
    </row>
    <row r="289" ht="18" customHeight="1">
      <c r="A289" s="19">
        <f>IF(B289="","",ROW()-4)</f>
        <v/>
      </c>
      <c r="B289" s="15" t="n"/>
      <c r="C289" s="20">
        <f>IF(B289="","",IFERROR(VLOOKUP(B289,'📦产品库'!$B$4:$D$9999,2,0),"⚠️未找到"))</f>
        <v/>
      </c>
      <c r="D289" s="21">
        <f>IF(B289="","",IFERROR(VLOOKUP(B289,'📦产品库'!$B$4:$E$9999,4,0),""))</f>
        <v/>
      </c>
      <c r="E289" s="21">
        <f>IF(B289="","",IFERROR(VLOOKUP(B289,'📦产品库'!$B$4:$F$9999,5,0),""))</f>
        <v/>
      </c>
      <c r="F289" s="22">
        <f>IF(B289="","",IFERROR(VLOOKUP(B289,'📦产品库'!$B$4:$G$9999,6,0),""))</f>
        <v/>
      </c>
      <c r="G289" s="16" t="n"/>
      <c r="H289" s="23">
        <f>IF(B289="","",1)</f>
        <v/>
      </c>
      <c r="I289" s="17">
        <f>IF(B289="","",IF(G289&lt;&gt;"",G289*H289,F289*H289))</f>
        <v/>
      </c>
      <c r="J289" s="24" t="n"/>
      <c r="K289" s="18">
        <f>IF(B289="","",IF(G289&gt;=2000,20,IF(G289&gt;=1000,10,0)))</f>
        <v/>
      </c>
      <c r="L289" s="25" t="n"/>
    </row>
    <row r="290" ht="18" customHeight="1">
      <c r="A290" s="26">
        <f>IF(B290="","",ROW()-4)</f>
        <v/>
      </c>
      <c r="B290" s="15" t="n"/>
      <c r="C290" s="20">
        <f>IF(B290="","",IFERROR(VLOOKUP(B290,'📦产品库'!$B$4:$D$9999,2,0),"⚠️未找到"))</f>
        <v/>
      </c>
      <c r="D290" s="21">
        <f>IF(B290="","",IFERROR(VLOOKUP(B290,'📦产品库'!$B$4:$E$9999,4,0),""))</f>
        <v/>
      </c>
      <c r="E290" s="21">
        <f>IF(B290="","",IFERROR(VLOOKUP(B290,'📦产品库'!$B$4:$F$9999,5,0),""))</f>
        <v/>
      </c>
      <c r="F290" s="22">
        <f>IF(B290="","",IFERROR(VLOOKUP(B290,'📦产品库'!$B$4:$G$9999,6,0),""))</f>
        <v/>
      </c>
      <c r="G290" s="16" t="n"/>
      <c r="H290" s="23">
        <f>IF(B290="","",1)</f>
        <v/>
      </c>
      <c r="I290" s="17">
        <f>IF(B290="","",IF(G290&lt;&gt;"",G290*H290,F290*H290))</f>
        <v/>
      </c>
      <c r="J290" s="24" t="n"/>
      <c r="K290" s="18">
        <f>IF(B290="","",IF(G290&gt;=2000,20,IF(G290&gt;=1000,10,0)))</f>
        <v/>
      </c>
      <c r="L290" s="27" t="n"/>
    </row>
    <row r="291" ht="18" customHeight="1">
      <c r="A291" s="19">
        <f>IF(B291="","",ROW()-4)</f>
        <v/>
      </c>
      <c r="B291" s="15" t="n"/>
      <c r="C291" s="20">
        <f>IF(B291="","",IFERROR(VLOOKUP(B291,'📦产品库'!$B$4:$D$9999,2,0),"⚠️未找到"))</f>
        <v/>
      </c>
      <c r="D291" s="21">
        <f>IF(B291="","",IFERROR(VLOOKUP(B291,'📦产品库'!$B$4:$E$9999,4,0),""))</f>
        <v/>
      </c>
      <c r="E291" s="21">
        <f>IF(B291="","",IFERROR(VLOOKUP(B291,'📦产品库'!$B$4:$F$9999,5,0),""))</f>
        <v/>
      </c>
      <c r="F291" s="22">
        <f>IF(B291="","",IFERROR(VLOOKUP(B291,'📦产品库'!$B$4:$G$9999,6,0),""))</f>
        <v/>
      </c>
      <c r="G291" s="16" t="n"/>
      <c r="H291" s="23">
        <f>IF(B291="","",1)</f>
        <v/>
      </c>
      <c r="I291" s="17">
        <f>IF(B291="","",IF(G291&lt;&gt;"",G291*H291,F291*H291))</f>
        <v/>
      </c>
      <c r="J291" s="24" t="n"/>
      <c r="K291" s="18">
        <f>IF(B291="","",IF(G291&gt;=2000,20,IF(G291&gt;=1000,10,0)))</f>
        <v/>
      </c>
      <c r="L291" s="25" t="n"/>
    </row>
    <row r="292" ht="18" customHeight="1">
      <c r="A292" s="26">
        <f>IF(B292="","",ROW()-4)</f>
        <v/>
      </c>
      <c r="B292" s="15" t="n"/>
      <c r="C292" s="20">
        <f>IF(B292="","",IFERROR(VLOOKUP(B292,'📦产品库'!$B$4:$D$9999,2,0),"⚠️未找到"))</f>
        <v/>
      </c>
      <c r="D292" s="21">
        <f>IF(B292="","",IFERROR(VLOOKUP(B292,'📦产品库'!$B$4:$E$9999,4,0),""))</f>
        <v/>
      </c>
      <c r="E292" s="21">
        <f>IF(B292="","",IFERROR(VLOOKUP(B292,'📦产品库'!$B$4:$F$9999,5,0),""))</f>
        <v/>
      </c>
      <c r="F292" s="22">
        <f>IF(B292="","",IFERROR(VLOOKUP(B292,'📦产品库'!$B$4:$G$9999,6,0),""))</f>
        <v/>
      </c>
      <c r="G292" s="16" t="n"/>
      <c r="H292" s="23">
        <f>IF(B292="","",1)</f>
        <v/>
      </c>
      <c r="I292" s="17">
        <f>IF(B292="","",IF(G292&lt;&gt;"",G292*H292,F292*H292))</f>
        <v/>
      </c>
      <c r="J292" s="24" t="n"/>
      <c r="K292" s="18">
        <f>IF(B292="","",IF(G292&gt;=2000,20,IF(G292&gt;=1000,10,0)))</f>
        <v/>
      </c>
      <c r="L292" s="27" t="n"/>
    </row>
    <row r="293" ht="18" customHeight="1">
      <c r="A293" s="19">
        <f>IF(B293="","",ROW()-4)</f>
        <v/>
      </c>
      <c r="B293" s="15" t="n"/>
      <c r="C293" s="20">
        <f>IF(B293="","",IFERROR(VLOOKUP(B293,'📦产品库'!$B$4:$D$9999,2,0),"⚠️未找到"))</f>
        <v/>
      </c>
      <c r="D293" s="21">
        <f>IF(B293="","",IFERROR(VLOOKUP(B293,'📦产品库'!$B$4:$E$9999,4,0),""))</f>
        <v/>
      </c>
      <c r="E293" s="21">
        <f>IF(B293="","",IFERROR(VLOOKUP(B293,'📦产品库'!$B$4:$F$9999,5,0),""))</f>
        <v/>
      </c>
      <c r="F293" s="22">
        <f>IF(B293="","",IFERROR(VLOOKUP(B293,'📦产品库'!$B$4:$G$9999,6,0),""))</f>
        <v/>
      </c>
      <c r="G293" s="16" t="n"/>
      <c r="H293" s="23">
        <f>IF(B293="","",1)</f>
        <v/>
      </c>
      <c r="I293" s="17">
        <f>IF(B293="","",IF(G293&lt;&gt;"",G293*H293,F293*H293))</f>
        <v/>
      </c>
      <c r="J293" s="24" t="n"/>
      <c r="K293" s="18">
        <f>IF(B293="","",IF(G293&gt;=2000,20,IF(G293&gt;=1000,10,0)))</f>
        <v/>
      </c>
      <c r="L293" s="25" t="n"/>
    </row>
    <row r="294" ht="18" customHeight="1">
      <c r="A294" s="26">
        <f>IF(B294="","",ROW()-4)</f>
        <v/>
      </c>
      <c r="B294" s="15" t="n"/>
      <c r="C294" s="20">
        <f>IF(B294="","",IFERROR(VLOOKUP(B294,'📦产品库'!$B$4:$D$9999,2,0),"⚠️未找到"))</f>
        <v/>
      </c>
      <c r="D294" s="21">
        <f>IF(B294="","",IFERROR(VLOOKUP(B294,'📦产品库'!$B$4:$E$9999,4,0),""))</f>
        <v/>
      </c>
      <c r="E294" s="21">
        <f>IF(B294="","",IFERROR(VLOOKUP(B294,'📦产品库'!$B$4:$F$9999,5,0),""))</f>
        <v/>
      </c>
      <c r="F294" s="22">
        <f>IF(B294="","",IFERROR(VLOOKUP(B294,'📦产品库'!$B$4:$G$9999,6,0),""))</f>
        <v/>
      </c>
      <c r="G294" s="16" t="n"/>
      <c r="H294" s="23">
        <f>IF(B294="","",1)</f>
        <v/>
      </c>
      <c r="I294" s="17">
        <f>IF(B294="","",IF(G294&lt;&gt;"",G294*H294,F294*H294))</f>
        <v/>
      </c>
      <c r="J294" s="24" t="n"/>
      <c r="K294" s="18">
        <f>IF(B294="","",IF(G294&gt;=2000,20,IF(G294&gt;=1000,10,0)))</f>
        <v/>
      </c>
      <c r="L294" s="27" t="n"/>
    </row>
    <row r="295" ht="18" customHeight="1">
      <c r="A295" s="19">
        <f>IF(B295="","",ROW()-4)</f>
        <v/>
      </c>
      <c r="B295" s="15" t="n"/>
      <c r="C295" s="20">
        <f>IF(B295="","",IFERROR(VLOOKUP(B295,'📦产品库'!$B$4:$D$9999,2,0),"⚠️未找到"))</f>
        <v/>
      </c>
      <c r="D295" s="21">
        <f>IF(B295="","",IFERROR(VLOOKUP(B295,'📦产品库'!$B$4:$E$9999,4,0),""))</f>
        <v/>
      </c>
      <c r="E295" s="21">
        <f>IF(B295="","",IFERROR(VLOOKUP(B295,'📦产品库'!$B$4:$F$9999,5,0),""))</f>
        <v/>
      </c>
      <c r="F295" s="22">
        <f>IF(B295="","",IFERROR(VLOOKUP(B295,'📦产品库'!$B$4:$G$9999,6,0),""))</f>
        <v/>
      </c>
      <c r="G295" s="16" t="n"/>
      <c r="H295" s="23">
        <f>IF(B295="","",1)</f>
        <v/>
      </c>
      <c r="I295" s="17">
        <f>IF(B295="","",IF(G295&lt;&gt;"",G295*H295,F295*H295))</f>
        <v/>
      </c>
      <c r="J295" s="24" t="n"/>
      <c r="K295" s="18">
        <f>IF(B295="","",IF(G295&gt;=2000,20,IF(G295&gt;=1000,10,0)))</f>
        <v/>
      </c>
      <c r="L295" s="25" t="n"/>
    </row>
    <row r="296" ht="18" customHeight="1">
      <c r="A296" s="26">
        <f>IF(B296="","",ROW()-4)</f>
        <v/>
      </c>
      <c r="B296" s="15" t="n"/>
      <c r="C296" s="20">
        <f>IF(B296="","",IFERROR(VLOOKUP(B296,'📦产品库'!$B$4:$D$9999,2,0),"⚠️未找到"))</f>
        <v/>
      </c>
      <c r="D296" s="21">
        <f>IF(B296="","",IFERROR(VLOOKUP(B296,'📦产品库'!$B$4:$E$9999,4,0),""))</f>
        <v/>
      </c>
      <c r="E296" s="21">
        <f>IF(B296="","",IFERROR(VLOOKUP(B296,'📦产品库'!$B$4:$F$9999,5,0),""))</f>
        <v/>
      </c>
      <c r="F296" s="22">
        <f>IF(B296="","",IFERROR(VLOOKUP(B296,'📦产品库'!$B$4:$G$9999,6,0),""))</f>
        <v/>
      </c>
      <c r="G296" s="16" t="n"/>
      <c r="H296" s="23">
        <f>IF(B296="","",1)</f>
        <v/>
      </c>
      <c r="I296" s="17">
        <f>IF(B296="","",IF(G296&lt;&gt;"",G296*H296,F296*H296))</f>
        <v/>
      </c>
      <c r="J296" s="24" t="n"/>
      <c r="K296" s="18">
        <f>IF(B296="","",IF(G296&gt;=2000,20,IF(G296&gt;=1000,10,0)))</f>
        <v/>
      </c>
      <c r="L296" s="27" t="n"/>
    </row>
    <row r="297" ht="18" customHeight="1">
      <c r="A297" s="19">
        <f>IF(B297="","",ROW()-4)</f>
        <v/>
      </c>
      <c r="B297" s="15" t="n"/>
      <c r="C297" s="20">
        <f>IF(B297="","",IFERROR(VLOOKUP(B297,'📦产品库'!$B$4:$D$9999,2,0),"⚠️未找到"))</f>
        <v/>
      </c>
      <c r="D297" s="21">
        <f>IF(B297="","",IFERROR(VLOOKUP(B297,'📦产品库'!$B$4:$E$9999,4,0),""))</f>
        <v/>
      </c>
      <c r="E297" s="21">
        <f>IF(B297="","",IFERROR(VLOOKUP(B297,'📦产品库'!$B$4:$F$9999,5,0),""))</f>
        <v/>
      </c>
      <c r="F297" s="22">
        <f>IF(B297="","",IFERROR(VLOOKUP(B297,'📦产品库'!$B$4:$G$9999,6,0),""))</f>
        <v/>
      </c>
      <c r="G297" s="16" t="n"/>
      <c r="H297" s="23">
        <f>IF(B297="","",1)</f>
        <v/>
      </c>
      <c r="I297" s="17">
        <f>IF(B297="","",IF(G297&lt;&gt;"",G297*H297,F297*H297))</f>
        <v/>
      </c>
      <c r="J297" s="24" t="n"/>
      <c r="K297" s="18">
        <f>IF(B297="","",IF(G297&gt;=2000,20,IF(G297&gt;=1000,10,0)))</f>
        <v/>
      </c>
      <c r="L297" s="25" t="n"/>
    </row>
    <row r="298" ht="18" customHeight="1">
      <c r="A298" s="26">
        <f>IF(B298="","",ROW()-4)</f>
        <v/>
      </c>
      <c r="B298" s="15" t="n"/>
      <c r="C298" s="20">
        <f>IF(B298="","",IFERROR(VLOOKUP(B298,'📦产品库'!$B$4:$D$9999,2,0),"⚠️未找到"))</f>
        <v/>
      </c>
      <c r="D298" s="21">
        <f>IF(B298="","",IFERROR(VLOOKUP(B298,'📦产品库'!$B$4:$E$9999,4,0),""))</f>
        <v/>
      </c>
      <c r="E298" s="21">
        <f>IF(B298="","",IFERROR(VLOOKUP(B298,'📦产品库'!$B$4:$F$9999,5,0),""))</f>
        <v/>
      </c>
      <c r="F298" s="22">
        <f>IF(B298="","",IFERROR(VLOOKUP(B298,'📦产品库'!$B$4:$G$9999,6,0),""))</f>
        <v/>
      </c>
      <c r="G298" s="16" t="n"/>
      <c r="H298" s="23">
        <f>IF(B298="","",1)</f>
        <v/>
      </c>
      <c r="I298" s="17">
        <f>IF(B298="","",IF(G298&lt;&gt;"",G298*H298,F298*H298))</f>
        <v/>
      </c>
      <c r="J298" s="24" t="n"/>
      <c r="K298" s="18">
        <f>IF(B298="","",IF(G298&gt;=2000,20,IF(G298&gt;=1000,10,0)))</f>
        <v/>
      </c>
      <c r="L298" s="27" t="n"/>
    </row>
    <row r="299" ht="18" customHeight="1">
      <c r="A299" s="19">
        <f>IF(B299="","",ROW()-4)</f>
        <v/>
      </c>
      <c r="B299" s="15" t="n"/>
      <c r="C299" s="20">
        <f>IF(B299="","",IFERROR(VLOOKUP(B299,'📦产品库'!$B$4:$D$9999,2,0),"⚠️未找到"))</f>
        <v/>
      </c>
      <c r="D299" s="21">
        <f>IF(B299="","",IFERROR(VLOOKUP(B299,'📦产品库'!$B$4:$E$9999,4,0),""))</f>
        <v/>
      </c>
      <c r="E299" s="21">
        <f>IF(B299="","",IFERROR(VLOOKUP(B299,'📦产品库'!$B$4:$F$9999,5,0),""))</f>
        <v/>
      </c>
      <c r="F299" s="22">
        <f>IF(B299="","",IFERROR(VLOOKUP(B299,'📦产品库'!$B$4:$G$9999,6,0),""))</f>
        <v/>
      </c>
      <c r="G299" s="16" t="n"/>
      <c r="H299" s="23">
        <f>IF(B299="","",1)</f>
        <v/>
      </c>
      <c r="I299" s="17">
        <f>IF(B299="","",IF(G299&lt;&gt;"",G299*H299,F299*H299))</f>
        <v/>
      </c>
      <c r="J299" s="24" t="n"/>
      <c r="K299" s="18">
        <f>IF(B299="","",IF(G299&gt;=2000,20,IF(G299&gt;=1000,10,0)))</f>
        <v/>
      </c>
      <c r="L299" s="25" t="n"/>
    </row>
    <row r="300" ht="18" customHeight="1">
      <c r="A300" s="26">
        <f>IF(B300="","",ROW()-4)</f>
        <v/>
      </c>
      <c r="B300" s="15" t="n"/>
      <c r="C300" s="20">
        <f>IF(B300="","",IFERROR(VLOOKUP(B300,'📦产品库'!$B$4:$D$9999,2,0),"⚠️未找到"))</f>
        <v/>
      </c>
      <c r="D300" s="21">
        <f>IF(B300="","",IFERROR(VLOOKUP(B300,'📦产品库'!$B$4:$E$9999,4,0),""))</f>
        <v/>
      </c>
      <c r="E300" s="21">
        <f>IF(B300="","",IFERROR(VLOOKUP(B300,'📦产品库'!$B$4:$F$9999,5,0),""))</f>
        <v/>
      </c>
      <c r="F300" s="22">
        <f>IF(B300="","",IFERROR(VLOOKUP(B300,'📦产品库'!$B$4:$G$9999,6,0),""))</f>
        <v/>
      </c>
      <c r="G300" s="16" t="n"/>
      <c r="H300" s="23">
        <f>IF(B300="","",1)</f>
        <v/>
      </c>
      <c r="I300" s="17">
        <f>IF(B300="","",IF(G300&lt;&gt;"",G300*H300,F300*H300))</f>
        <v/>
      </c>
      <c r="J300" s="24" t="n"/>
      <c r="K300" s="18">
        <f>IF(B300="","",IF(G300&gt;=2000,20,IF(G300&gt;=1000,10,0)))</f>
        <v/>
      </c>
      <c r="L300" s="27" t="n"/>
    </row>
    <row r="301" ht="18" customHeight="1">
      <c r="A301" s="19">
        <f>IF(B301="","",ROW()-4)</f>
        <v/>
      </c>
      <c r="B301" s="15" t="n"/>
      <c r="C301" s="20">
        <f>IF(B301="","",IFERROR(VLOOKUP(B301,'📦产品库'!$B$4:$D$9999,2,0),"⚠️未找到"))</f>
        <v/>
      </c>
      <c r="D301" s="21">
        <f>IF(B301="","",IFERROR(VLOOKUP(B301,'📦产品库'!$B$4:$E$9999,4,0),""))</f>
        <v/>
      </c>
      <c r="E301" s="21">
        <f>IF(B301="","",IFERROR(VLOOKUP(B301,'📦产品库'!$B$4:$F$9999,5,0),""))</f>
        <v/>
      </c>
      <c r="F301" s="22">
        <f>IF(B301="","",IFERROR(VLOOKUP(B301,'📦产品库'!$B$4:$G$9999,6,0),""))</f>
        <v/>
      </c>
      <c r="G301" s="16" t="n"/>
      <c r="H301" s="23">
        <f>IF(B301="","",1)</f>
        <v/>
      </c>
      <c r="I301" s="17">
        <f>IF(B301="","",IF(G301&lt;&gt;"",G301*H301,F301*H301))</f>
        <v/>
      </c>
      <c r="J301" s="24" t="n"/>
      <c r="K301" s="18">
        <f>IF(B301="","",IF(G301&gt;=2000,20,IF(G301&gt;=1000,10,0)))</f>
        <v/>
      </c>
      <c r="L301" s="25" t="n"/>
    </row>
    <row r="302" ht="18" customHeight="1">
      <c r="A302" s="26">
        <f>IF(B302="","",ROW()-4)</f>
        <v/>
      </c>
      <c r="B302" s="15" t="n"/>
      <c r="C302" s="20">
        <f>IF(B302="","",IFERROR(VLOOKUP(B302,'📦产品库'!$B$4:$D$9999,2,0),"⚠️未找到"))</f>
        <v/>
      </c>
      <c r="D302" s="21">
        <f>IF(B302="","",IFERROR(VLOOKUP(B302,'📦产品库'!$B$4:$E$9999,4,0),""))</f>
        <v/>
      </c>
      <c r="E302" s="21">
        <f>IF(B302="","",IFERROR(VLOOKUP(B302,'📦产品库'!$B$4:$F$9999,5,0),""))</f>
        <v/>
      </c>
      <c r="F302" s="22">
        <f>IF(B302="","",IFERROR(VLOOKUP(B302,'📦产品库'!$B$4:$G$9999,6,0),""))</f>
        <v/>
      </c>
      <c r="G302" s="16" t="n"/>
      <c r="H302" s="23">
        <f>IF(B302="","",1)</f>
        <v/>
      </c>
      <c r="I302" s="17">
        <f>IF(B302="","",IF(G302&lt;&gt;"",G302*H302,F302*H302))</f>
        <v/>
      </c>
      <c r="J302" s="24" t="n"/>
      <c r="K302" s="18">
        <f>IF(B302="","",IF(G302&gt;=2000,20,IF(G302&gt;=1000,10,0)))</f>
        <v/>
      </c>
      <c r="L302" s="27" t="n"/>
    </row>
    <row r="303" ht="18" customHeight="1">
      <c r="A303" s="19">
        <f>IF(B303="","",ROW()-4)</f>
        <v/>
      </c>
      <c r="B303" s="15" t="n"/>
      <c r="C303" s="20">
        <f>IF(B303="","",IFERROR(VLOOKUP(B303,'📦产品库'!$B$4:$D$9999,2,0),"⚠️未找到"))</f>
        <v/>
      </c>
      <c r="D303" s="21">
        <f>IF(B303="","",IFERROR(VLOOKUP(B303,'📦产品库'!$B$4:$E$9999,4,0),""))</f>
        <v/>
      </c>
      <c r="E303" s="21">
        <f>IF(B303="","",IFERROR(VLOOKUP(B303,'📦产品库'!$B$4:$F$9999,5,0),""))</f>
        <v/>
      </c>
      <c r="F303" s="22">
        <f>IF(B303="","",IFERROR(VLOOKUP(B303,'📦产品库'!$B$4:$G$9999,6,0),""))</f>
        <v/>
      </c>
      <c r="G303" s="16" t="n"/>
      <c r="H303" s="23">
        <f>IF(B303="","",1)</f>
        <v/>
      </c>
      <c r="I303" s="17">
        <f>IF(B303="","",IF(G303&lt;&gt;"",G303*H303,F303*H303))</f>
        <v/>
      </c>
      <c r="J303" s="24" t="n"/>
      <c r="K303" s="18">
        <f>IF(B303="","",IF(G303&gt;=2000,20,IF(G303&gt;=1000,10,0)))</f>
        <v/>
      </c>
      <c r="L303" s="25" t="n"/>
    </row>
    <row r="304" ht="18" customHeight="1">
      <c r="A304" s="26">
        <f>IF(B304="","",ROW()-4)</f>
        <v/>
      </c>
      <c r="B304" s="15" t="n"/>
      <c r="C304" s="20">
        <f>IF(B304="","",IFERROR(VLOOKUP(B304,'📦产品库'!$B$4:$D$9999,2,0),"⚠️未找到"))</f>
        <v/>
      </c>
      <c r="D304" s="21">
        <f>IF(B304="","",IFERROR(VLOOKUP(B304,'📦产品库'!$B$4:$E$9999,4,0),""))</f>
        <v/>
      </c>
      <c r="E304" s="21">
        <f>IF(B304="","",IFERROR(VLOOKUP(B304,'📦产品库'!$B$4:$F$9999,5,0),""))</f>
        <v/>
      </c>
      <c r="F304" s="22">
        <f>IF(B304="","",IFERROR(VLOOKUP(B304,'📦产品库'!$B$4:$G$9999,6,0),""))</f>
        <v/>
      </c>
      <c r="G304" s="16" t="n"/>
      <c r="H304" s="23">
        <f>IF(B304="","",1)</f>
        <v/>
      </c>
      <c r="I304" s="17">
        <f>IF(B304="","",IF(G304&lt;&gt;"",G304*H304,F304*H304))</f>
        <v/>
      </c>
      <c r="J304" s="24" t="n"/>
      <c r="K304" s="18">
        <f>IF(B304="","",IF(G304&gt;=2000,20,IF(G304&gt;=1000,10,0)))</f>
        <v/>
      </c>
      <c r="L304" s="27" t="n"/>
    </row>
    <row r="305" ht="18" customHeight="1">
      <c r="A305" s="19">
        <f>IF(B305="","",ROW()-4)</f>
        <v/>
      </c>
      <c r="B305" s="15" t="n"/>
      <c r="C305" s="20">
        <f>IF(B305="","",IFERROR(VLOOKUP(B305,'📦产品库'!$B$4:$D$9999,2,0),"⚠️未找到"))</f>
        <v/>
      </c>
      <c r="D305" s="21">
        <f>IF(B305="","",IFERROR(VLOOKUP(B305,'📦产品库'!$B$4:$E$9999,4,0),""))</f>
        <v/>
      </c>
      <c r="E305" s="21">
        <f>IF(B305="","",IFERROR(VLOOKUP(B305,'📦产品库'!$B$4:$F$9999,5,0),""))</f>
        <v/>
      </c>
      <c r="F305" s="22">
        <f>IF(B305="","",IFERROR(VLOOKUP(B305,'📦产品库'!$B$4:$G$9999,6,0),""))</f>
        <v/>
      </c>
      <c r="G305" s="16" t="n"/>
      <c r="H305" s="23">
        <f>IF(B305="","",1)</f>
        <v/>
      </c>
      <c r="I305" s="17">
        <f>IF(B305="","",IF(G305&lt;&gt;"",G305*H305,F305*H305))</f>
        <v/>
      </c>
      <c r="J305" s="24" t="n"/>
      <c r="K305" s="18">
        <f>IF(B305="","",IF(G305&gt;=2000,20,IF(G305&gt;=1000,10,0)))</f>
        <v/>
      </c>
      <c r="L305" s="25" t="n"/>
    </row>
    <row r="306" ht="18" customHeight="1">
      <c r="A306" s="26">
        <f>IF(B306="","",ROW()-4)</f>
        <v/>
      </c>
      <c r="B306" s="15" t="n"/>
      <c r="C306" s="20">
        <f>IF(B306="","",IFERROR(VLOOKUP(B306,'📦产品库'!$B$4:$D$9999,2,0),"⚠️未找到"))</f>
        <v/>
      </c>
      <c r="D306" s="21">
        <f>IF(B306="","",IFERROR(VLOOKUP(B306,'📦产品库'!$B$4:$E$9999,4,0),""))</f>
        <v/>
      </c>
      <c r="E306" s="21">
        <f>IF(B306="","",IFERROR(VLOOKUP(B306,'📦产品库'!$B$4:$F$9999,5,0),""))</f>
        <v/>
      </c>
      <c r="F306" s="22">
        <f>IF(B306="","",IFERROR(VLOOKUP(B306,'📦产品库'!$B$4:$G$9999,6,0),""))</f>
        <v/>
      </c>
      <c r="G306" s="16" t="n"/>
      <c r="H306" s="23">
        <f>IF(B306="","",1)</f>
        <v/>
      </c>
      <c r="I306" s="17">
        <f>IF(B306="","",IF(G306&lt;&gt;"",G306*H306,F306*H306))</f>
        <v/>
      </c>
      <c r="J306" s="24" t="n"/>
      <c r="K306" s="18">
        <f>IF(B306="","",IF(G306&gt;=2000,20,IF(G306&gt;=1000,10,0)))</f>
        <v/>
      </c>
      <c r="L306" s="27" t="n"/>
    </row>
    <row r="307" ht="18" customHeight="1">
      <c r="A307" s="19">
        <f>IF(B307="","",ROW()-4)</f>
        <v/>
      </c>
      <c r="B307" s="15" t="n"/>
      <c r="C307" s="20">
        <f>IF(B307="","",IFERROR(VLOOKUP(B307,'📦产品库'!$B$4:$D$9999,2,0),"⚠️未找到"))</f>
        <v/>
      </c>
      <c r="D307" s="21">
        <f>IF(B307="","",IFERROR(VLOOKUP(B307,'📦产品库'!$B$4:$E$9999,4,0),""))</f>
        <v/>
      </c>
      <c r="E307" s="21">
        <f>IF(B307="","",IFERROR(VLOOKUP(B307,'📦产品库'!$B$4:$F$9999,5,0),""))</f>
        <v/>
      </c>
      <c r="F307" s="22">
        <f>IF(B307="","",IFERROR(VLOOKUP(B307,'📦产品库'!$B$4:$G$9999,6,0),""))</f>
        <v/>
      </c>
      <c r="G307" s="16" t="n"/>
      <c r="H307" s="23">
        <f>IF(B307="","",1)</f>
        <v/>
      </c>
      <c r="I307" s="17">
        <f>IF(B307="","",IF(G307&lt;&gt;"",G307*H307,F307*H307))</f>
        <v/>
      </c>
      <c r="J307" s="24" t="n"/>
      <c r="K307" s="18">
        <f>IF(B307="","",IF(G307&gt;=2000,20,IF(G307&gt;=1000,10,0)))</f>
        <v/>
      </c>
      <c r="L307" s="25" t="n"/>
    </row>
    <row r="308" ht="18" customHeight="1">
      <c r="A308" s="26">
        <f>IF(B308="","",ROW()-4)</f>
        <v/>
      </c>
      <c r="B308" s="15" t="n"/>
      <c r="C308" s="20">
        <f>IF(B308="","",IFERROR(VLOOKUP(B308,'📦产品库'!$B$4:$D$9999,2,0),"⚠️未找到"))</f>
        <v/>
      </c>
      <c r="D308" s="21">
        <f>IF(B308="","",IFERROR(VLOOKUP(B308,'📦产品库'!$B$4:$E$9999,4,0),""))</f>
        <v/>
      </c>
      <c r="E308" s="21">
        <f>IF(B308="","",IFERROR(VLOOKUP(B308,'📦产品库'!$B$4:$F$9999,5,0),""))</f>
        <v/>
      </c>
      <c r="F308" s="22">
        <f>IF(B308="","",IFERROR(VLOOKUP(B308,'📦产品库'!$B$4:$G$9999,6,0),""))</f>
        <v/>
      </c>
      <c r="G308" s="16" t="n"/>
      <c r="H308" s="23">
        <f>IF(B308="","",1)</f>
        <v/>
      </c>
      <c r="I308" s="17">
        <f>IF(B308="","",IF(G308&lt;&gt;"",G308*H308,F308*H308))</f>
        <v/>
      </c>
      <c r="J308" s="24" t="n"/>
      <c r="K308" s="18">
        <f>IF(B308="","",IF(G308&gt;=2000,20,IF(G308&gt;=1000,10,0)))</f>
        <v/>
      </c>
      <c r="L308" s="27" t="n"/>
    </row>
    <row r="309" ht="18" customHeight="1">
      <c r="A309" s="19">
        <f>IF(B309="","",ROW()-4)</f>
        <v/>
      </c>
      <c r="B309" s="15" t="n"/>
      <c r="C309" s="20">
        <f>IF(B309="","",IFERROR(VLOOKUP(B309,'📦产品库'!$B$4:$D$9999,2,0),"⚠️未找到"))</f>
        <v/>
      </c>
      <c r="D309" s="21">
        <f>IF(B309="","",IFERROR(VLOOKUP(B309,'📦产品库'!$B$4:$E$9999,4,0),""))</f>
        <v/>
      </c>
      <c r="E309" s="21">
        <f>IF(B309="","",IFERROR(VLOOKUP(B309,'📦产品库'!$B$4:$F$9999,5,0),""))</f>
        <v/>
      </c>
      <c r="F309" s="22">
        <f>IF(B309="","",IFERROR(VLOOKUP(B309,'📦产品库'!$B$4:$G$9999,6,0),""))</f>
        <v/>
      </c>
      <c r="G309" s="16" t="n"/>
      <c r="H309" s="23">
        <f>IF(B309="","",1)</f>
        <v/>
      </c>
      <c r="I309" s="17">
        <f>IF(B309="","",IF(G309&lt;&gt;"",G309*H309,F309*H309))</f>
        <v/>
      </c>
      <c r="J309" s="24" t="n"/>
      <c r="K309" s="18">
        <f>IF(B309="","",IF(G309&gt;=2000,20,IF(G309&gt;=1000,10,0)))</f>
        <v/>
      </c>
      <c r="L309" s="25" t="n"/>
    </row>
    <row r="310" ht="18" customHeight="1">
      <c r="A310" s="26">
        <f>IF(B310="","",ROW()-4)</f>
        <v/>
      </c>
      <c r="B310" s="15" t="n"/>
      <c r="C310" s="20">
        <f>IF(B310="","",IFERROR(VLOOKUP(B310,'📦产品库'!$B$4:$D$9999,2,0),"⚠️未找到"))</f>
        <v/>
      </c>
      <c r="D310" s="21">
        <f>IF(B310="","",IFERROR(VLOOKUP(B310,'📦产品库'!$B$4:$E$9999,4,0),""))</f>
        <v/>
      </c>
      <c r="E310" s="21">
        <f>IF(B310="","",IFERROR(VLOOKUP(B310,'📦产品库'!$B$4:$F$9999,5,0),""))</f>
        <v/>
      </c>
      <c r="F310" s="22">
        <f>IF(B310="","",IFERROR(VLOOKUP(B310,'📦产品库'!$B$4:$G$9999,6,0),""))</f>
        <v/>
      </c>
      <c r="G310" s="16" t="n"/>
      <c r="H310" s="23">
        <f>IF(B310="","",1)</f>
        <v/>
      </c>
      <c r="I310" s="17">
        <f>IF(B310="","",IF(G310&lt;&gt;"",G310*H310,F310*H310))</f>
        <v/>
      </c>
      <c r="J310" s="24" t="n"/>
      <c r="K310" s="18">
        <f>IF(B310="","",IF(G310&gt;=2000,20,IF(G310&gt;=1000,10,0)))</f>
        <v/>
      </c>
      <c r="L310" s="27" t="n"/>
    </row>
    <row r="311" ht="18" customHeight="1">
      <c r="A311" s="19">
        <f>IF(B311="","",ROW()-4)</f>
        <v/>
      </c>
      <c r="B311" s="15" t="n"/>
      <c r="C311" s="20">
        <f>IF(B311="","",IFERROR(VLOOKUP(B311,'📦产品库'!$B$4:$D$9999,2,0),"⚠️未找到"))</f>
        <v/>
      </c>
      <c r="D311" s="21">
        <f>IF(B311="","",IFERROR(VLOOKUP(B311,'📦产品库'!$B$4:$E$9999,4,0),""))</f>
        <v/>
      </c>
      <c r="E311" s="21">
        <f>IF(B311="","",IFERROR(VLOOKUP(B311,'📦产品库'!$B$4:$F$9999,5,0),""))</f>
        <v/>
      </c>
      <c r="F311" s="22">
        <f>IF(B311="","",IFERROR(VLOOKUP(B311,'📦产品库'!$B$4:$G$9999,6,0),""))</f>
        <v/>
      </c>
      <c r="G311" s="16" t="n"/>
      <c r="H311" s="23">
        <f>IF(B311="","",1)</f>
        <v/>
      </c>
      <c r="I311" s="17">
        <f>IF(B311="","",IF(G311&lt;&gt;"",G311*H311,F311*H311))</f>
        <v/>
      </c>
      <c r="J311" s="24" t="n"/>
      <c r="K311" s="18">
        <f>IF(B311="","",IF(G311&gt;=2000,20,IF(G311&gt;=1000,10,0)))</f>
        <v/>
      </c>
      <c r="L311" s="25" t="n"/>
    </row>
    <row r="312" ht="18" customHeight="1">
      <c r="A312" s="26">
        <f>IF(B312="","",ROW()-4)</f>
        <v/>
      </c>
      <c r="B312" s="15" t="n"/>
      <c r="C312" s="20">
        <f>IF(B312="","",IFERROR(VLOOKUP(B312,'📦产品库'!$B$4:$D$9999,2,0),"⚠️未找到"))</f>
        <v/>
      </c>
      <c r="D312" s="21">
        <f>IF(B312="","",IFERROR(VLOOKUP(B312,'📦产品库'!$B$4:$E$9999,4,0),""))</f>
        <v/>
      </c>
      <c r="E312" s="21">
        <f>IF(B312="","",IFERROR(VLOOKUP(B312,'📦产品库'!$B$4:$F$9999,5,0),""))</f>
        <v/>
      </c>
      <c r="F312" s="22">
        <f>IF(B312="","",IFERROR(VLOOKUP(B312,'📦产品库'!$B$4:$G$9999,6,0),""))</f>
        <v/>
      </c>
      <c r="G312" s="16" t="n"/>
      <c r="H312" s="23">
        <f>IF(B312="","",1)</f>
        <v/>
      </c>
      <c r="I312" s="17">
        <f>IF(B312="","",IF(G312&lt;&gt;"",G312*H312,F312*H312))</f>
        <v/>
      </c>
      <c r="J312" s="24" t="n"/>
      <c r="K312" s="18">
        <f>IF(B312="","",IF(G312&gt;=2000,20,IF(G312&gt;=1000,10,0)))</f>
        <v/>
      </c>
      <c r="L312" s="27" t="n"/>
    </row>
    <row r="313" ht="18" customHeight="1">
      <c r="A313" s="19">
        <f>IF(B313="","",ROW()-4)</f>
        <v/>
      </c>
      <c r="B313" s="15" t="n"/>
      <c r="C313" s="20">
        <f>IF(B313="","",IFERROR(VLOOKUP(B313,'📦产品库'!$B$4:$D$9999,2,0),"⚠️未找到"))</f>
        <v/>
      </c>
      <c r="D313" s="21">
        <f>IF(B313="","",IFERROR(VLOOKUP(B313,'📦产品库'!$B$4:$E$9999,4,0),""))</f>
        <v/>
      </c>
      <c r="E313" s="21">
        <f>IF(B313="","",IFERROR(VLOOKUP(B313,'📦产品库'!$B$4:$F$9999,5,0),""))</f>
        <v/>
      </c>
      <c r="F313" s="22">
        <f>IF(B313="","",IFERROR(VLOOKUP(B313,'📦产品库'!$B$4:$G$9999,6,0),""))</f>
        <v/>
      </c>
      <c r="G313" s="16" t="n"/>
      <c r="H313" s="23">
        <f>IF(B313="","",1)</f>
        <v/>
      </c>
      <c r="I313" s="17">
        <f>IF(B313="","",IF(G313&lt;&gt;"",G313*H313,F313*H313))</f>
        <v/>
      </c>
      <c r="J313" s="24" t="n"/>
      <c r="K313" s="18">
        <f>IF(B313="","",IF(G313&gt;=2000,20,IF(G313&gt;=1000,10,0)))</f>
        <v/>
      </c>
      <c r="L313" s="25" t="n"/>
    </row>
    <row r="314" ht="18" customHeight="1">
      <c r="A314" s="26">
        <f>IF(B314="","",ROW()-4)</f>
        <v/>
      </c>
      <c r="B314" s="15" t="n"/>
      <c r="C314" s="20">
        <f>IF(B314="","",IFERROR(VLOOKUP(B314,'📦产品库'!$B$4:$D$9999,2,0),"⚠️未找到"))</f>
        <v/>
      </c>
      <c r="D314" s="21">
        <f>IF(B314="","",IFERROR(VLOOKUP(B314,'📦产品库'!$B$4:$E$9999,4,0),""))</f>
        <v/>
      </c>
      <c r="E314" s="21">
        <f>IF(B314="","",IFERROR(VLOOKUP(B314,'📦产品库'!$B$4:$F$9999,5,0),""))</f>
        <v/>
      </c>
      <c r="F314" s="22">
        <f>IF(B314="","",IFERROR(VLOOKUP(B314,'📦产品库'!$B$4:$G$9999,6,0),""))</f>
        <v/>
      </c>
      <c r="G314" s="16" t="n"/>
      <c r="H314" s="23">
        <f>IF(B314="","",1)</f>
        <v/>
      </c>
      <c r="I314" s="17">
        <f>IF(B314="","",IF(G314&lt;&gt;"",G314*H314,F314*H314))</f>
        <v/>
      </c>
      <c r="J314" s="24" t="n"/>
      <c r="K314" s="18">
        <f>IF(B314="","",IF(G314&gt;=2000,20,IF(G314&gt;=1000,10,0)))</f>
        <v/>
      </c>
      <c r="L314" s="27" t="n"/>
    </row>
    <row r="315" ht="18" customHeight="1">
      <c r="A315" s="19">
        <f>IF(B315="","",ROW()-4)</f>
        <v/>
      </c>
      <c r="B315" s="15" t="n"/>
      <c r="C315" s="20">
        <f>IF(B315="","",IFERROR(VLOOKUP(B315,'📦产品库'!$B$4:$D$9999,2,0),"⚠️未找到"))</f>
        <v/>
      </c>
      <c r="D315" s="21">
        <f>IF(B315="","",IFERROR(VLOOKUP(B315,'📦产品库'!$B$4:$E$9999,4,0),""))</f>
        <v/>
      </c>
      <c r="E315" s="21">
        <f>IF(B315="","",IFERROR(VLOOKUP(B315,'📦产品库'!$B$4:$F$9999,5,0),""))</f>
        <v/>
      </c>
      <c r="F315" s="22">
        <f>IF(B315="","",IFERROR(VLOOKUP(B315,'📦产品库'!$B$4:$G$9999,6,0),""))</f>
        <v/>
      </c>
      <c r="G315" s="16" t="n"/>
      <c r="H315" s="23">
        <f>IF(B315="","",1)</f>
        <v/>
      </c>
      <c r="I315" s="17">
        <f>IF(B315="","",IF(G315&lt;&gt;"",G315*H315,F315*H315))</f>
        <v/>
      </c>
      <c r="J315" s="24" t="n"/>
      <c r="K315" s="18">
        <f>IF(B315="","",IF(G315&gt;=2000,20,IF(G315&gt;=1000,10,0)))</f>
        <v/>
      </c>
      <c r="L315" s="25" t="n"/>
    </row>
    <row r="316" ht="18" customHeight="1">
      <c r="A316" s="26">
        <f>IF(B316="","",ROW()-4)</f>
        <v/>
      </c>
      <c r="B316" s="15" t="n"/>
      <c r="C316" s="20">
        <f>IF(B316="","",IFERROR(VLOOKUP(B316,'📦产品库'!$B$4:$D$9999,2,0),"⚠️未找到"))</f>
        <v/>
      </c>
      <c r="D316" s="21">
        <f>IF(B316="","",IFERROR(VLOOKUP(B316,'📦产品库'!$B$4:$E$9999,4,0),""))</f>
        <v/>
      </c>
      <c r="E316" s="21">
        <f>IF(B316="","",IFERROR(VLOOKUP(B316,'📦产品库'!$B$4:$F$9999,5,0),""))</f>
        <v/>
      </c>
      <c r="F316" s="22">
        <f>IF(B316="","",IFERROR(VLOOKUP(B316,'📦产品库'!$B$4:$G$9999,6,0),""))</f>
        <v/>
      </c>
      <c r="G316" s="16" t="n"/>
      <c r="H316" s="23">
        <f>IF(B316="","",1)</f>
        <v/>
      </c>
      <c r="I316" s="17">
        <f>IF(B316="","",IF(G316&lt;&gt;"",G316*H316,F316*H316))</f>
        <v/>
      </c>
      <c r="J316" s="24" t="n"/>
      <c r="K316" s="18">
        <f>IF(B316="","",IF(G316&gt;=2000,20,IF(G316&gt;=1000,10,0)))</f>
        <v/>
      </c>
      <c r="L316" s="27" t="n"/>
    </row>
    <row r="317" ht="18" customHeight="1">
      <c r="A317" s="19">
        <f>IF(B317="","",ROW()-4)</f>
        <v/>
      </c>
      <c r="B317" s="15" t="n"/>
      <c r="C317" s="20">
        <f>IF(B317="","",IFERROR(VLOOKUP(B317,'📦产品库'!$B$4:$D$9999,2,0),"⚠️未找到"))</f>
        <v/>
      </c>
      <c r="D317" s="21">
        <f>IF(B317="","",IFERROR(VLOOKUP(B317,'📦产品库'!$B$4:$E$9999,4,0),""))</f>
        <v/>
      </c>
      <c r="E317" s="21">
        <f>IF(B317="","",IFERROR(VLOOKUP(B317,'📦产品库'!$B$4:$F$9999,5,0),""))</f>
        <v/>
      </c>
      <c r="F317" s="22">
        <f>IF(B317="","",IFERROR(VLOOKUP(B317,'📦产品库'!$B$4:$G$9999,6,0),""))</f>
        <v/>
      </c>
      <c r="G317" s="16" t="n"/>
      <c r="H317" s="23">
        <f>IF(B317="","",1)</f>
        <v/>
      </c>
      <c r="I317" s="17">
        <f>IF(B317="","",IF(G317&lt;&gt;"",G317*H317,F317*H317))</f>
        <v/>
      </c>
      <c r="J317" s="24" t="n"/>
      <c r="K317" s="18">
        <f>IF(B317="","",IF(G317&gt;=2000,20,IF(G317&gt;=1000,10,0)))</f>
        <v/>
      </c>
      <c r="L317" s="25" t="n"/>
    </row>
    <row r="318" ht="18" customHeight="1">
      <c r="A318" s="26">
        <f>IF(B318="","",ROW()-4)</f>
        <v/>
      </c>
      <c r="B318" s="15" t="n"/>
      <c r="C318" s="20">
        <f>IF(B318="","",IFERROR(VLOOKUP(B318,'📦产品库'!$B$4:$D$9999,2,0),"⚠️未找到"))</f>
        <v/>
      </c>
      <c r="D318" s="21">
        <f>IF(B318="","",IFERROR(VLOOKUP(B318,'📦产品库'!$B$4:$E$9999,4,0),""))</f>
        <v/>
      </c>
      <c r="E318" s="21">
        <f>IF(B318="","",IFERROR(VLOOKUP(B318,'📦产品库'!$B$4:$F$9999,5,0),""))</f>
        <v/>
      </c>
      <c r="F318" s="22">
        <f>IF(B318="","",IFERROR(VLOOKUP(B318,'📦产品库'!$B$4:$G$9999,6,0),""))</f>
        <v/>
      </c>
      <c r="G318" s="16" t="n"/>
      <c r="H318" s="23">
        <f>IF(B318="","",1)</f>
        <v/>
      </c>
      <c r="I318" s="17">
        <f>IF(B318="","",IF(G318&lt;&gt;"",G318*H318,F318*H318))</f>
        <v/>
      </c>
      <c r="J318" s="24" t="n"/>
      <c r="K318" s="18">
        <f>IF(B318="","",IF(G318&gt;=2000,20,IF(G318&gt;=1000,10,0)))</f>
        <v/>
      </c>
      <c r="L318" s="27" t="n"/>
    </row>
    <row r="319" ht="18" customHeight="1">
      <c r="A319" s="19">
        <f>IF(B319="","",ROW()-4)</f>
        <v/>
      </c>
      <c r="B319" s="15" t="n"/>
      <c r="C319" s="20">
        <f>IF(B319="","",IFERROR(VLOOKUP(B319,'📦产品库'!$B$4:$D$9999,2,0),"⚠️未找到"))</f>
        <v/>
      </c>
      <c r="D319" s="21">
        <f>IF(B319="","",IFERROR(VLOOKUP(B319,'📦产品库'!$B$4:$E$9999,4,0),""))</f>
        <v/>
      </c>
      <c r="E319" s="21">
        <f>IF(B319="","",IFERROR(VLOOKUP(B319,'📦产品库'!$B$4:$F$9999,5,0),""))</f>
        <v/>
      </c>
      <c r="F319" s="22">
        <f>IF(B319="","",IFERROR(VLOOKUP(B319,'📦产品库'!$B$4:$G$9999,6,0),""))</f>
        <v/>
      </c>
      <c r="G319" s="16" t="n"/>
      <c r="H319" s="23">
        <f>IF(B319="","",1)</f>
        <v/>
      </c>
      <c r="I319" s="17">
        <f>IF(B319="","",IF(G319&lt;&gt;"",G319*H319,F319*H319))</f>
        <v/>
      </c>
      <c r="J319" s="24" t="n"/>
      <c r="K319" s="18">
        <f>IF(B319="","",IF(G319&gt;=2000,20,IF(G319&gt;=1000,10,0)))</f>
        <v/>
      </c>
      <c r="L319" s="25" t="n"/>
    </row>
    <row r="320" ht="18" customHeight="1">
      <c r="A320" s="26">
        <f>IF(B320="","",ROW()-4)</f>
        <v/>
      </c>
      <c r="B320" s="15" t="n"/>
      <c r="C320" s="20">
        <f>IF(B320="","",IFERROR(VLOOKUP(B320,'📦产品库'!$B$4:$D$9999,2,0),"⚠️未找到"))</f>
        <v/>
      </c>
      <c r="D320" s="21">
        <f>IF(B320="","",IFERROR(VLOOKUP(B320,'📦产品库'!$B$4:$E$9999,4,0),""))</f>
        <v/>
      </c>
      <c r="E320" s="21">
        <f>IF(B320="","",IFERROR(VLOOKUP(B320,'📦产品库'!$B$4:$F$9999,5,0),""))</f>
        <v/>
      </c>
      <c r="F320" s="22">
        <f>IF(B320="","",IFERROR(VLOOKUP(B320,'📦产品库'!$B$4:$G$9999,6,0),""))</f>
        <v/>
      </c>
      <c r="G320" s="16" t="n"/>
      <c r="H320" s="23">
        <f>IF(B320="","",1)</f>
        <v/>
      </c>
      <c r="I320" s="17">
        <f>IF(B320="","",IF(G320&lt;&gt;"",G320*H320,F320*H320))</f>
        <v/>
      </c>
      <c r="J320" s="24" t="n"/>
      <c r="K320" s="18">
        <f>IF(B320="","",IF(G320&gt;=2000,20,IF(G320&gt;=1000,10,0)))</f>
        <v/>
      </c>
      <c r="L320" s="27" t="n"/>
    </row>
    <row r="321" ht="18" customHeight="1">
      <c r="A321" s="19">
        <f>IF(B321="","",ROW()-4)</f>
        <v/>
      </c>
      <c r="B321" s="15" t="n"/>
      <c r="C321" s="20">
        <f>IF(B321="","",IFERROR(VLOOKUP(B321,'📦产品库'!$B$4:$D$9999,2,0),"⚠️未找到"))</f>
        <v/>
      </c>
      <c r="D321" s="21">
        <f>IF(B321="","",IFERROR(VLOOKUP(B321,'📦产品库'!$B$4:$E$9999,4,0),""))</f>
        <v/>
      </c>
      <c r="E321" s="21">
        <f>IF(B321="","",IFERROR(VLOOKUP(B321,'📦产品库'!$B$4:$F$9999,5,0),""))</f>
        <v/>
      </c>
      <c r="F321" s="22">
        <f>IF(B321="","",IFERROR(VLOOKUP(B321,'📦产品库'!$B$4:$G$9999,6,0),""))</f>
        <v/>
      </c>
      <c r="G321" s="16" t="n"/>
      <c r="H321" s="23">
        <f>IF(B321="","",1)</f>
        <v/>
      </c>
      <c r="I321" s="17">
        <f>IF(B321="","",IF(G321&lt;&gt;"",G321*H321,F321*H321))</f>
        <v/>
      </c>
      <c r="J321" s="24" t="n"/>
      <c r="K321" s="18">
        <f>IF(B321="","",IF(G321&gt;=2000,20,IF(G321&gt;=1000,10,0)))</f>
        <v/>
      </c>
      <c r="L321" s="25" t="n"/>
    </row>
    <row r="322" ht="18" customHeight="1">
      <c r="A322" s="26">
        <f>IF(B322="","",ROW()-4)</f>
        <v/>
      </c>
      <c r="B322" s="15" t="n"/>
      <c r="C322" s="20">
        <f>IF(B322="","",IFERROR(VLOOKUP(B322,'📦产品库'!$B$4:$D$9999,2,0),"⚠️未找到"))</f>
        <v/>
      </c>
      <c r="D322" s="21">
        <f>IF(B322="","",IFERROR(VLOOKUP(B322,'📦产品库'!$B$4:$E$9999,4,0),""))</f>
        <v/>
      </c>
      <c r="E322" s="21">
        <f>IF(B322="","",IFERROR(VLOOKUP(B322,'📦产品库'!$B$4:$F$9999,5,0),""))</f>
        <v/>
      </c>
      <c r="F322" s="22">
        <f>IF(B322="","",IFERROR(VLOOKUP(B322,'📦产品库'!$B$4:$G$9999,6,0),""))</f>
        <v/>
      </c>
      <c r="G322" s="16" t="n"/>
      <c r="H322" s="23">
        <f>IF(B322="","",1)</f>
        <v/>
      </c>
      <c r="I322" s="17">
        <f>IF(B322="","",IF(G322&lt;&gt;"",G322*H322,F322*H322))</f>
        <v/>
      </c>
      <c r="J322" s="24" t="n"/>
      <c r="K322" s="18">
        <f>IF(B322="","",IF(G322&gt;=2000,20,IF(G322&gt;=1000,10,0)))</f>
        <v/>
      </c>
      <c r="L322" s="27" t="n"/>
    </row>
    <row r="323" ht="18" customHeight="1">
      <c r="A323" s="19">
        <f>IF(B323="","",ROW()-4)</f>
        <v/>
      </c>
      <c r="B323" s="15" t="n"/>
      <c r="C323" s="20">
        <f>IF(B323="","",IFERROR(VLOOKUP(B323,'📦产品库'!$B$4:$D$9999,2,0),"⚠️未找到"))</f>
        <v/>
      </c>
      <c r="D323" s="21">
        <f>IF(B323="","",IFERROR(VLOOKUP(B323,'📦产品库'!$B$4:$E$9999,4,0),""))</f>
        <v/>
      </c>
      <c r="E323" s="21">
        <f>IF(B323="","",IFERROR(VLOOKUP(B323,'📦产品库'!$B$4:$F$9999,5,0),""))</f>
        <v/>
      </c>
      <c r="F323" s="22">
        <f>IF(B323="","",IFERROR(VLOOKUP(B323,'📦产品库'!$B$4:$G$9999,6,0),""))</f>
        <v/>
      </c>
      <c r="G323" s="16" t="n"/>
      <c r="H323" s="23">
        <f>IF(B323="","",1)</f>
        <v/>
      </c>
      <c r="I323" s="17">
        <f>IF(B323="","",IF(G323&lt;&gt;"",G323*H323,F323*H323))</f>
        <v/>
      </c>
      <c r="J323" s="24" t="n"/>
      <c r="K323" s="18">
        <f>IF(B323="","",IF(G323&gt;=2000,20,IF(G323&gt;=1000,10,0)))</f>
        <v/>
      </c>
      <c r="L323" s="25" t="n"/>
    </row>
    <row r="324" ht="18" customHeight="1">
      <c r="A324" s="26">
        <f>IF(B324="","",ROW()-4)</f>
        <v/>
      </c>
      <c r="B324" s="15" t="n"/>
      <c r="C324" s="20">
        <f>IF(B324="","",IFERROR(VLOOKUP(B324,'📦产品库'!$B$4:$D$9999,2,0),"⚠️未找到"))</f>
        <v/>
      </c>
      <c r="D324" s="21">
        <f>IF(B324="","",IFERROR(VLOOKUP(B324,'📦产品库'!$B$4:$E$9999,4,0),""))</f>
        <v/>
      </c>
      <c r="E324" s="21">
        <f>IF(B324="","",IFERROR(VLOOKUP(B324,'📦产品库'!$B$4:$F$9999,5,0),""))</f>
        <v/>
      </c>
      <c r="F324" s="22">
        <f>IF(B324="","",IFERROR(VLOOKUP(B324,'📦产品库'!$B$4:$G$9999,6,0),""))</f>
        <v/>
      </c>
      <c r="G324" s="16" t="n"/>
      <c r="H324" s="23">
        <f>IF(B324="","",1)</f>
        <v/>
      </c>
      <c r="I324" s="17">
        <f>IF(B324="","",IF(G324&lt;&gt;"",G324*H324,F324*H324))</f>
        <v/>
      </c>
      <c r="J324" s="24" t="n"/>
      <c r="K324" s="18">
        <f>IF(B324="","",IF(G324&gt;=2000,20,IF(G324&gt;=1000,10,0)))</f>
        <v/>
      </c>
      <c r="L324" s="27" t="n"/>
    </row>
    <row r="325" ht="18" customHeight="1">
      <c r="A325" s="19">
        <f>IF(B325="","",ROW()-4)</f>
        <v/>
      </c>
      <c r="B325" s="15" t="n"/>
      <c r="C325" s="20">
        <f>IF(B325="","",IFERROR(VLOOKUP(B325,'📦产品库'!$B$4:$D$9999,2,0),"⚠️未找到"))</f>
        <v/>
      </c>
      <c r="D325" s="21">
        <f>IF(B325="","",IFERROR(VLOOKUP(B325,'📦产品库'!$B$4:$E$9999,4,0),""))</f>
        <v/>
      </c>
      <c r="E325" s="21">
        <f>IF(B325="","",IFERROR(VLOOKUP(B325,'📦产品库'!$B$4:$F$9999,5,0),""))</f>
        <v/>
      </c>
      <c r="F325" s="22">
        <f>IF(B325="","",IFERROR(VLOOKUP(B325,'📦产品库'!$B$4:$G$9999,6,0),""))</f>
        <v/>
      </c>
      <c r="G325" s="16" t="n"/>
      <c r="H325" s="23">
        <f>IF(B325="","",1)</f>
        <v/>
      </c>
      <c r="I325" s="17">
        <f>IF(B325="","",IF(G325&lt;&gt;"",G325*H325,F325*H325))</f>
        <v/>
      </c>
      <c r="J325" s="24" t="n"/>
      <c r="K325" s="18">
        <f>IF(B325="","",IF(G325&gt;=2000,20,IF(G325&gt;=1000,10,0)))</f>
        <v/>
      </c>
      <c r="L325" s="25" t="n"/>
    </row>
    <row r="326" ht="18" customHeight="1">
      <c r="A326" s="26">
        <f>IF(B326="","",ROW()-4)</f>
        <v/>
      </c>
      <c r="B326" s="15" t="n"/>
      <c r="C326" s="20">
        <f>IF(B326="","",IFERROR(VLOOKUP(B326,'📦产品库'!$B$4:$D$9999,2,0),"⚠️未找到"))</f>
        <v/>
      </c>
      <c r="D326" s="21">
        <f>IF(B326="","",IFERROR(VLOOKUP(B326,'📦产品库'!$B$4:$E$9999,4,0),""))</f>
        <v/>
      </c>
      <c r="E326" s="21">
        <f>IF(B326="","",IFERROR(VLOOKUP(B326,'📦产品库'!$B$4:$F$9999,5,0),""))</f>
        <v/>
      </c>
      <c r="F326" s="22">
        <f>IF(B326="","",IFERROR(VLOOKUP(B326,'📦产品库'!$B$4:$G$9999,6,0),""))</f>
        <v/>
      </c>
      <c r="G326" s="16" t="n"/>
      <c r="H326" s="23">
        <f>IF(B326="","",1)</f>
        <v/>
      </c>
      <c r="I326" s="17">
        <f>IF(B326="","",IF(G326&lt;&gt;"",G326*H326,F326*H326))</f>
        <v/>
      </c>
      <c r="J326" s="24" t="n"/>
      <c r="K326" s="18">
        <f>IF(B326="","",IF(G326&gt;=2000,20,IF(G326&gt;=1000,10,0)))</f>
        <v/>
      </c>
      <c r="L326" s="27" t="n"/>
    </row>
    <row r="327" ht="18" customHeight="1">
      <c r="A327" s="19">
        <f>IF(B327="","",ROW()-4)</f>
        <v/>
      </c>
      <c r="B327" s="15" t="n"/>
      <c r="C327" s="20">
        <f>IF(B327="","",IFERROR(VLOOKUP(B327,'📦产品库'!$B$4:$D$9999,2,0),"⚠️未找到"))</f>
        <v/>
      </c>
      <c r="D327" s="21">
        <f>IF(B327="","",IFERROR(VLOOKUP(B327,'📦产品库'!$B$4:$E$9999,4,0),""))</f>
        <v/>
      </c>
      <c r="E327" s="21">
        <f>IF(B327="","",IFERROR(VLOOKUP(B327,'📦产品库'!$B$4:$F$9999,5,0),""))</f>
        <v/>
      </c>
      <c r="F327" s="22">
        <f>IF(B327="","",IFERROR(VLOOKUP(B327,'📦产品库'!$B$4:$G$9999,6,0),""))</f>
        <v/>
      </c>
      <c r="G327" s="16" t="n"/>
      <c r="H327" s="23">
        <f>IF(B327="","",1)</f>
        <v/>
      </c>
      <c r="I327" s="17">
        <f>IF(B327="","",IF(G327&lt;&gt;"",G327*H327,F327*H327))</f>
        <v/>
      </c>
      <c r="J327" s="24" t="n"/>
      <c r="K327" s="18">
        <f>IF(B327="","",IF(G327&gt;=2000,20,IF(G327&gt;=1000,10,0)))</f>
        <v/>
      </c>
      <c r="L327" s="25" t="n"/>
    </row>
    <row r="328" ht="18" customHeight="1">
      <c r="A328" s="26">
        <f>IF(B328="","",ROW()-4)</f>
        <v/>
      </c>
      <c r="B328" s="15" t="n"/>
      <c r="C328" s="20">
        <f>IF(B328="","",IFERROR(VLOOKUP(B328,'📦产品库'!$B$4:$D$9999,2,0),"⚠️未找到"))</f>
        <v/>
      </c>
      <c r="D328" s="21">
        <f>IF(B328="","",IFERROR(VLOOKUP(B328,'📦产品库'!$B$4:$E$9999,4,0),""))</f>
        <v/>
      </c>
      <c r="E328" s="21">
        <f>IF(B328="","",IFERROR(VLOOKUP(B328,'📦产品库'!$B$4:$F$9999,5,0),""))</f>
        <v/>
      </c>
      <c r="F328" s="22">
        <f>IF(B328="","",IFERROR(VLOOKUP(B328,'📦产品库'!$B$4:$G$9999,6,0),""))</f>
        <v/>
      </c>
      <c r="G328" s="16" t="n"/>
      <c r="H328" s="23">
        <f>IF(B328="","",1)</f>
        <v/>
      </c>
      <c r="I328" s="17">
        <f>IF(B328="","",IF(G328&lt;&gt;"",G328*H328,F328*H328))</f>
        <v/>
      </c>
      <c r="J328" s="24" t="n"/>
      <c r="K328" s="18">
        <f>IF(B328="","",IF(G328&gt;=2000,20,IF(G328&gt;=1000,10,0)))</f>
        <v/>
      </c>
      <c r="L328" s="27" t="n"/>
    </row>
    <row r="329" ht="18" customHeight="1">
      <c r="A329" s="19">
        <f>IF(B329="","",ROW()-4)</f>
        <v/>
      </c>
      <c r="B329" s="15" t="n"/>
      <c r="C329" s="20">
        <f>IF(B329="","",IFERROR(VLOOKUP(B329,'📦产品库'!$B$4:$D$9999,2,0),"⚠️未找到"))</f>
        <v/>
      </c>
      <c r="D329" s="21">
        <f>IF(B329="","",IFERROR(VLOOKUP(B329,'📦产品库'!$B$4:$E$9999,4,0),""))</f>
        <v/>
      </c>
      <c r="E329" s="21">
        <f>IF(B329="","",IFERROR(VLOOKUP(B329,'📦产品库'!$B$4:$F$9999,5,0),""))</f>
        <v/>
      </c>
      <c r="F329" s="22">
        <f>IF(B329="","",IFERROR(VLOOKUP(B329,'📦产品库'!$B$4:$G$9999,6,0),""))</f>
        <v/>
      </c>
      <c r="G329" s="16" t="n"/>
      <c r="H329" s="23">
        <f>IF(B329="","",1)</f>
        <v/>
      </c>
      <c r="I329" s="17">
        <f>IF(B329="","",IF(G329&lt;&gt;"",G329*H329,F329*H329))</f>
        <v/>
      </c>
      <c r="J329" s="24" t="n"/>
      <c r="K329" s="18">
        <f>IF(B329="","",IF(G329&gt;=2000,20,IF(G329&gt;=1000,10,0)))</f>
        <v/>
      </c>
      <c r="L329" s="25" t="n"/>
    </row>
    <row r="330" ht="18" customHeight="1">
      <c r="A330" s="26">
        <f>IF(B330="","",ROW()-4)</f>
        <v/>
      </c>
      <c r="B330" s="15" t="n"/>
      <c r="C330" s="20">
        <f>IF(B330="","",IFERROR(VLOOKUP(B330,'📦产品库'!$B$4:$D$9999,2,0),"⚠️未找到"))</f>
        <v/>
      </c>
      <c r="D330" s="21">
        <f>IF(B330="","",IFERROR(VLOOKUP(B330,'📦产品库'!$B$4:$E$9999,4,0),""))</f>
        <v/>
      </c>
      <c r="E330" s="21">
        <f>IF(B330="","",IFERROR(VLOOKUP(B330,'📦产品库'!$B$4:$F$9999,5,0),""))</f>
        <v/>
      </c>
      <c r="F330" s="22">
        <f>IF(B330="","",IFERROR(VLOOKUP(B330,'📦产品库'!$B$4:$G$9999,6,0),""))</f>
        <v/>
      </c>
      <c r="G330" s="16" t="n"/>
      <c r="H330" s="23">
        <f>IF(B330="","",1)</f>
        <v/>
      </c>
      <c r="I330" s="17">
        <f>IF(B330="","",IF(G330&lt;&gt;"",G330*H330,F330*H330))</f>
        <v/>
      </c>
      <c r="J330" s="24" t="n"/>
      <c r="K330" s="18">
        <f>IF(B330="","",IF(G330&gt;=2000,20,IF(G330&gt;=1000,10,0)))</f>
        <v/>
      </c>
      <c r="L330" s="27" t="n"/>
    </row>
    <row r="331" ht="18" customHeight="1">
      <c r="A331" s="19">
        <f>IF(B331="","",ROW()-4)</f>
        <v/>
      </c>
      <c r="B331" s="15" t="n"/>
      <c r="C331" s="20">
        <f>IF(B331="","",IFERROR(VLOOKUP(B331,'📦产品库'!$B$4:$D$9999,2,0),"⚠️未找到"))</f>
        <v/>
      </c>
      <c r="D331" s="21">
        <f>IF(B331="","",IFERROR(VLOOKUP(B331,'📦产品库'!$B$4:$E$9999,4,0),""))</f>
        <v/>
      </c>
      <c r="E331" s="21">
        <f>IF(B331="","",IFERROR(VLOOKUP(B331,'📦产品库'!$B$4:$F$9999,5,0),""))</f>
        <v/>
      </c>
      <c r="F331" s="22">
        <f>IF(B331="","",IFERROR(VLOOKUP(B331,'📦产品库'!$B$4:$G$9999,6,0),""))</f>
        <v/>
      </c>
      <c r="G331" s="16" t="n"/>
      <c r="H331" s="23">
        <f>IF(B331="","",1)</f>
        <v/>
      </c>
      <c r="I331" s="17">
        <f>IF(B331="","",IF(G331&lt;&gt;"",G331*H331,F331*H331))</f>
        <v/>
      </c>
      <c r="J331" s="24" t="n"/>
      <c r="K331" s="18">
        <f>IF(B331="","",IF(G331&gt;=2000,20,IF(G331&gt;=1000,10,0)))</f>
        <v/>
      </c>
      <c r="L331" s="25" t="n"/>
    </row>
    <row r="332" ht="18" customHeight="1">
      <c r="A332" s="26">
        <f>IF(B332="","",ROW()-4)</f>
        <v/>
      </c>
      <c r="B332" s="15" t="n"/>
      <c r="C332" s="20">
        <f>IF(B332="","",IFERROR(VLOOKUP(B332,'📦产品库'!$B$4:$D$9999,2,0),"⚠️未找到"))</f>
        <v/>
      </c>
      <c r="D332" s="21">
        <f>IF(B332="","",IFERROR(VLOOKUP(B332,'📦产品库'!$B$4:$E$9999,4,0),""))</f>
        <v/>
      </c>
      <c r="E332" s="21">
        <f>IF(B332="","",IFERROR(VLOOKUP(B332,'📦产品库'!$B$4:$F$9999,5,0),""))</f>
        <v/>
      </c>
      <c r="F332" s="22">
        <f>IF(B332="","",IFERROR(VLOOKUP(B332,'📦产品库'!$B$4:$G$9999,6,0),""))</f>
        <v/>
      </c>
      <c r="G332" s="16" t="n"/>
      <c r="H332" s="23">
        <f>IF(B332="","",1)</f>
        <v/>
      </c>
      <c r="I332" s="17">
        <f>IF(B332="","",IF(G332&lt;&gt;"",G332*H332,F332*H332))</f>
        <v/>
      </c>
      <c r="J332" s="24" t="n"/>
      <c r="K332" s="18">
        <f>IF(B332="","",IF(G332&gt;=2000,20,IF(G332&gt;=1000,10,0)))</f>
        <v/>
      </c>
      <c r="L332" s="27" t="n"/>
    </row>
    <row r="333" ht="18" customHeight="1">
      <c r="A333" s="19">
        <f>IF(B333="","",ROW()-4)</f>
        <v/>
      </c>
      <c r="B333" s="15" t="n"/>
      <c r="C333" s="20">
        <f>IF(B333="","",IFERROR(VLOOKUP(B333,'📦产品库'!$B$4:$D$9999,2,0),"⚠️未找到"))</f>
        <v/>
      </c>
      <c r="D333" s="21">
        <f>IF(B333="","",IFERROR(VLOOKUP(B333,'📦产品库'!$B$4:$E$9999,4,0),""))</f>
        <v/>
      </c>
      <c r="E333" s="21">
        <f>IF(B333="","",IFERROR(VLOOKUP(B333,'📦产品库'!$B$4:$F$9999,5,0),""))</f>
        <v/>
      </c>
      <c r="F333" s="22">
        <f>IF(B333="","",IFERROR(VLOOKUP(B333,'📦产品库'!$B$4:$G$9999,6,0),""))</f>
        <v/>
      </c>
      <c r="G333" s="16" t="n"/>
      <c r="H333" s="23">
        <f>IF(B333="","",1)</f>
        <v/>
      </c>
      <c r="I333" s="17">
        <f>IF(B333="","",IF(G333&lt;&gt;"",G333*H333,F333*H333))</f>
        <v/>
      </c>
      <c r="J333" s="24" t="n"/>
      <c r="K333" s="18">
        <f>IF(B333="","",IF(G333&gt;=2000,20,IF(G333&gt;=1000,10,0)))</f>
        <v/>
      </c>
      <c r="L333" s="25" t="n"/>
    </row>
    <row r="334" ht="18" customHeight="1">
      <c r="A334" s="26">
        <f>IF(B334="","",ROW()-4)</f>
        <v/>
      </c>
      <c r="B334" s="15" t="n"/>
      <c r="C334" s="20">
        <f>IF(B334="","",IFERROR(VLOOKUP(B334,'📦产品库'!$B$4:$D$9999,2,0),"⚠️未找到"))</f>
        <v/>
      </c>
      <c r="D334" s="21">
        <f>IF(B334="","",IFERROR(VLOOKUP(B334,'📦产品库'!$B$4:$E$9999,4,0),""))</f>
        <v/>
      </c>
      <c r="E334" s="21">
        <f>IF(B334="","",IFERROR(VLOOKUP(B334,'📦产品库'!$B$4:$F$9999,5,0),""))</f>
        <v/>
      </c>
      <c r="F334" s="22">
        <f>IF(B334="","",IFERROR(VLOOKUP(B334,'📦产品库'!$B$4:$G$9999,6,0),""))</f>
        <v/>
      </c>
      <c r="G334" s="16" t="n"/>
      <c r="H334" s="23">
        <f>IF(B334="","",1)</f>
        <v/>
      </c>
      <c r="I334" s="17">
        <f>IF(B334="","",IF(G334&lt;&gt;"",G334*H334,F334*H334))</f>
        <v/>
      </c>
      <c r="J334" s="24" t="n"/>
      <c r="K334" s="18">
        <f>IF(B334="","",IF(G334&gt;=2000,20,IF(G334&gt;=1000,10,0)))</f>
        <v/>
      </c>
      <c r="L334" s="27" t="n"/>
    </row>
    <row r="335" ht="18" customHeight="1">
      <c r="A335" s="19">
        <f>IF(B335="","",ROW()-4)</f>
        <v/>
      </c>
      <c r="B335" s="15" t="n"/>
      <c r="C335" s="20">
        <f>IF(B335="","",IFERROR(VLOOKUP(B335,'📦产品库'!$B$4:$D$9999,2,0),"⚠️未找到"))</f>
        <v/>
      </c>
      <c r="D335" s="21">
        <f>IF(B335="","",IFERROR(VLOOKUP(B335,'📦产品库'!$B$4:$E$9999,4,0),""))</f>
        <v/>
      </c>
      <c r="E335" s="21">
        <f>IF(B335="","",IFERROR(VLOOKUP(B335,'📦产品库'!$B$4:$F$9999,5,0),""))</f>
        <v/>
      </c>
      <c r="F335" s="22">
        <f>IF(B335="","",IFERROR(VLOOKUP(B335,'📦产品库'!$B$4:$G$9999,6,0),""))</f>
        <v/>
      </c>
      <c r="G335" s="16" t="n"/>
      <c r="H335" s="23">
        <f>IF(B335="","",1)</f>
        <v/>
      </c>
      <c r="I335" s="17">
        <f>IF(B335="","",IF(G335&lt;&gt;"",G335*H335,F335*H335))</f>
        <v/>
      </c>
      <c r="J335" s="24" t="n"/>
      <c r="K335" s="18">
        <f>IF(B335="","",IF(G335&gt;=2000,20,IF(G335&gt;=1000,10,0)))</f>
        <v/>
      </c>
      <c r="L335" s="25" t="n"/>
    </row>
    <row r="336" ht="18" customHeight="1">
      <c r="A336" s="26">
        <f>IF(B336="","",ROW()-4)</f>
        <v/>
      </c>
      <c r="B336" s="15" t="n"/>
      <c r="C336" s="20">
        <f>IF(B336="","",IFERROR(VLOOKUP(B336,'📦产品库'!$B$4:$D$9999,2,0),"⚠️未找到"))</f>
        <v/>
      </c>
      <c r="D336" s="21">
        <f>IF(B336="","",IFERROR(VLOOKUP(B336,'📦产品库'!$B$4:$E$9999,4,0),""))</f>
        <v/>
      </c>
      <c r="E336" s="21">
        <f>IF(B336="","",IFERROR(VLOOKUP(B336,'📦产品库'!$B$4:$F$9999,5,0),""))</f>
        <v/>
      </c>
      <c r="F336" s="22">
        <f>IF(B336="","",IFERROR(VLOOKUP(B336,'📦产品库'!$B$4:$G$9999,6,0),""))</f>
        <v/>
      </c>
      <c r="G336" s="16" t="n"/>
      <c r="H336" s="23">
        <f>IF(B336="","",1)</f>
        <v/>
      </c>
      <c r="I336" s="17">
        <f>IF(B336="","",IF(G336&lt;&gt;"",G336*H336,F336*H336))</f>
        <v/>
      </c>
      <c r="J336" s="24" t="n"/>
      <c r="K336" s="18">
        <f>IF(B336="","",IF(G336&gt;=2000,20,IF(G336&gt;=1000,10,0)))</f>
        <v/>
      </c>
      <c r="L336" s="27" t="n"/>
    </row>
    <row r="337" ht="18" customHeight="1">
      <c r="A337" s="19">
        <f>IF(B337="","",ROW()-4)</f>
        <v/>
      </c>
      <c r="B337" s="15" t="n"/>
      <c r="C337" s="20">
        <f>IF(B337="","",IFERROR(VLOOKUP(B337,'📦产品库'!$B$4:$D$9999,2,0),"⚠️未找到"))</f>
        <v/>
      </c>
      <c r="D337" s="21">
        <f>IF(B337="","",IFERROR(VLOOKUP(B337,'📦产品库'!$B$4:$E$9999,4,0),""))</f>
        <v/>
      </c>
      <c r="E337" s="21">
        <f>IF(B337="","",IFERROR(VLOOKUP(B337,'📦产品库'!$B$4:$F$9999,5,0),""))</f>
        <v/>
      </c>
      <c r="F337" s="22">
        <f>IF(B337="","",IFERROR(VLOOKUP(B337,'📦产品库'!$B$4:$G$9999,6,0),""))</f>
        <v/>
      </c>
      <c r="G337" s="16" t="n"/>
      <c r="H337" s="23">
        <f>IF(B337="","",1)</f>
        <v/>
      </c>
      <c r="I337" s="17">
        <f>IF(B337="","",IF(G337&lt;&gt;"",G337*H337,F337*H337))</f>
        <v/>
      </c>
      <c r="J337" s="24" t="n"/>
      <c r="K337" s="18">
        <f>IF(B337="","",IF(G337&gt;=2000,20,IF(G337&gt;=1000,10,0)))</f>
        <v/>
      </c>
      <c r="L337" s="25" t="n"/>
    </row>
    <row r="338" ht="18" customHeight="1">
      <c r="A338" s="26">
        <f>IF(B338="","",ROW()-4)</f>
        <v/>
      </c>
      <c r="B338" s="15" t="n"/>
      <c r="C338" s="20">
        <f>IF(B338="","",IFERROR(VLOOKUP(B338,'📦产品库'!$B$4:$D$9999,2,0),"⚠️未找到"))</f>
        <v/>
      </c>
      <c r="D338" s="21">
        <f>IF(B338="","",IFERROR(VLOOKUP(B338,'📦产品库'!$B$4:$E$9999,4,0),""))</f>
        <v/>
      </c>
      <c r="E338" s="21">
        <f>IF(B338="","",IFERROR(VLOOKUP(B338,'📦产品库'!$B$4:$F$9999,5,0),""))</f>
        <v/>
      </c>
      <c r="F338" s="22">
        <f>IF(B338="","",IFERROR(VLOOKUP(B338,'📦产品库'!$B$4:$G$9999,6,0),""))</f>
        <v/>
      </c>
      <c r="G338" s="16" t="n"/>
      <c r="H338" s="23">
        <f>IF(B338="","",1)</f>
        <v/>
      </c>
      <c r="I338" s="17">
        <f>IF(B338="","",IF(G338&lt;&gt;"",G338*H338,F338*H338))</f>
        <v/>
      </c>
      <c r="J338" s="24" t="n"/>
      <c r="K338" s="18">
        <f>IF(B338="","",IF(G338&gt;=2000,20,IF(G338&gt;=1000,10,0)))</f>
        <v/>
      </c>
      <c r="L338" s="27" t="n"/>
    </row>
    <row r="339" ht="18" customHeight="1">
      <c r="A339" s="19">
        <f>IF(B339="","",ROW()-4)</f>
        <v/>
      </c>
      <c r="B339" s="15" t="n"/>
      <c r="C339" s="20">
        <f>IF(B339="","",IFERROR(VLOOKUP(B339,'📦产品库'!$B$4:$D$9999,2,0),"⚠️未找到"))</f>
        <v/>
      </c>
      <c r="D339" s="21">
        <f>IF(B339="","",IFERROR(VLOOKUP(B339,'📦产品库'!$B$4:$E$9999,4,0),""))</f>
        <v/>
      </c>
      <c r="E339" s="21">
        <f>IF(B339="","",IFERROR(VLOOKUP(B339,'📦产品库'!$B$4:$F$9999,5,0),""))</f>
        <v/>
      </c>
      <c r="F339" s="22">
        <f>IF(B339="","",IFERROR(VLOOKUP(B339,'📦产品库'!$B$4:$G$9999,6,0),""))</f>
        <v/>
      </c>
      <c r="G339" s="16" t="n"/>
      <c r="H339" s="23">
        <f>IF(B339="","",1)</f>
        <v/>
      </c>
      <c r="I339" s="17">
        <f>IF(B339="","",IF(G339&lt;&gt;"",G339*H339,F339*H339))</f>
        <v/>
      </c>
      <c r="J339" s="24" t="n"/>
      <c r="K339" s="18">
        <f>IF(B339="","",IF(G339&gt;=2000,20,IF(G339&gt;=1000,10,0)))</f>
        <v/>
      </c>
      <c r="L339" s="25" t="n"/>
    </row>
    <row r="340" ht="18" customHeight="1">
      <c r="A340" s="26">
        <f>IF(B340="","",ROW()-4)</f>
        <v/>
      </c>
      <c r="B340" s="15" t="n"/>
      <c r="C340" s="20">
        <f>IF(B340="","",IFERROR(VLOOKUP(B340,'📦产品库'!$B$4:$D$9999,2,0),"⚠️未找到"))</f>
        <v/>
      </c>
      <c r="D340" s="21">
        <f>IF(B340="","",IFERROR(VLOOKUP(B340,'📦产品库'!$B$4:$E$9999,4,0),""))</f>
        <v/>
      </c>
      <c r="E340" s="21">
        <f>IF(B340="","",IFERROR(VLOOKUP(B340,'📦产品库'!$B$4:$F$9999,5,0),""))</f>
        <v/>
      </c>
      <c r="F340" s="22">
        <f>IF(B340="","",IFERROR(VLOOKUP(B340,'📦产品库'!$B$4:$G$9999,6,0),""))</f>
        <v/>
      </c>
      <c r="G340" s="16" t="n"/>
      <c r="H340" s="23">
        <f>IF(B340="","",1)</f>
        <v/>
      </c>
      <c r="I340" s="17">
        <f>IF(B340="","",IF(G340&lt;&gt;"",G340*H340,F340*H340))</f>
        <v/>
      </c>
      <c r="J340" s="24" t="n"/>
      <c r="K340" s="18">
        <f>IF(B340="","",IF(G340&gt;=2000,20,IF(G340&gt;=1000,10,0)))</f>
        <v/>
      </c>
      <c r="L340" s="27" t="n"/>
    </row>
    <row r="341" ht="18" customHeight="1">
      <c r="A341" s="19">
        <f>IF(B341="","",ROW()-4)</f>
        <v/>
      </c>
      <c r="B341" s="15" t="n"/>
      <c r="C341" s="20">
        <f>IF(B341="","",IFERROR(VLOOKUP(B341,'📦产品库'!$B$4:$D$9999,2,0),"⚠️未找到"))</f>
        <v/>
      </c>
      <c r="D341" s="21">
        <f>IF(B341="","",IFERROR(VLOOKUP(B341,'📦产品库'!$B$4:$E$9999,4,0),""))</f>
        <v/>
      </c>
      <c r="E341" s="21">
        <f>IF(B341="","",IFERROR(VLOOKUP(B341,'📦产品库'!$B$4:$F$9999,5,0),""))</f>
        <v/>
      </c>
      <c r="F341" s="22">
        <f>IF(B341="","",IFERROR(VLOOKUP(B341,'📦产品库'!$B$4:$G$9999,6,0),""))</f>
        <v/>
      </c>
      <c r="G341" s="16" t="n"/>
      <c r="H341" s="23">
        <f>IF(B341="","",1)</f>
        <v/>
      </c>
      <c r="I341" s="17">
        <f>IF(B341="","",IF(G341&lt;&gt;"",G341*H341,F341*H341))</f>
        <v/>
      </c>
      <c r="J341" s="24" t="n"/>
      <c r="K341" s="18">
        <f>IF(B341="","",IF(G341&gt;=2000,20,IF(G341&gt;=1000,10,0)))</f>
        <v/>
      </c>
      <c r="L341" s="25" t="n"/>
    </row>
    <row r="342" ht="18" customHeight="1">
      <c r="A342" s="26">
        <f>IF(B342="","",ROW()-4)</f>
        <v/>
      </c>
      <c r="B342" s="15" t="n"/>
      <c r="C342" s="20">
        <f>IF(B342="","",IFERROR(VLOOKUP(B342,'📦产品库'!$B$4:$D$9999,2,0),"⚠️未找到"))</f>
        <v/>
      </c>
      <c r="D342" s="21">
        <f>IF(B342="","",IFERROR(VLOOKUP(B342,'📦产品库'!$B$4:$E$9999,4,0),""))</f>
        <v/>
      </c>
      <c r="E342" s="21">
        <f>IF(B342="","",IFERROR(VLOOKUP(B342,'📦产品库'!$B$4:$F$9999,5,0),""))</f>
        <v/>
      </c>
      <c r="F342" s="22">
        <f>IF(B342="","",IFERROR(VLOOKUP(B342,'📦产品库'!$B$4:$G$9999,6,0),""))</f>
        <v/>
      </c>
      <c r="G342" s="16" t="n"/>
      <c r="H342" s="23">
        <f>IF(B342="","",1)</f>
        <v/>
      </c>
      <c r="I342" s="17">
        <f>IF(B342="","",IF(G342&lt;&gt;"",G342*H342,F342*H342))</f>
        <v/>
      </c>
      <c r="J342" s="24" t="n"/>
      <c r="K342" s="18">
        <f>IF(B342="","",IF(G342&gt;=2000,20,IF(G342&gt;=1000,10,0)))</f>
        <v/>
      </c>
      <c r="L342" s="27" t="n"/>
    </row>
    <row r="343" ht="18" customHeight="1">
      <c r="A343" s="19">
        <f>IF(B343="","",ROW()-4)</f>
        <v/>
      </c>
      <c r="B343" s="15" t="n"/>
      <c r="C343" s="20">
        <f>IF(B343="","",IFERROR(VLOOKUP(B343,'📦产品库'!$B$4:$D$9999,2,0),"⚠️未找到"))</f>
        <v/>
      </c>
      <c r="D343" s="21">
        <f>IF(B343="","",IFERROR(VLOOKUP(B343,'📦产品库'!$B$4:$E$9999,4,0),""))</f>
        <v/>
      </c>
      <c r="E343" s="21">
        <f>IF(B343="","",IFERROR(VLOOKUP(B343,'📦产品库'!$B$4:$F$9999,5,0),""))</f>
        <v/>
      </c>
      <c r="F343" s="22">
        <f>IF(B343="","",IFERROR(VLOOKUP(B343,'📦产品库'!$B$4:$G$9999,6,0),""))</f>
        <v/>
      </c>
      <c r="G343" s="16" t="n"/>
      <c r="H343" s="23">
        <f>IF(B343="","",1)</f>
        <v/>
      </c>
      <c r="I343" s="17">
        <f>IF(B343="","",IF(G343&lt;&gt;"",G343*H343,F343*H343))</f>
        <v/>
      </c>
      <c r="J343" s="24" t="n"/>
      <c r="K343" s="18">
        <f>IF(B343="","",IF(G343&gt;=2000,20,IF(G343&gt;=1000,10,0)))</f>
        <v/>
      </c>
      <c r="L343" s="25" t="n"/>
    </row>
    <row r="344" ht="18" customHeight="1">
      <c r="A344" s="26">
        <f>IF(B344="","",ROW()-4)</f>
        <v/>
      </c>
      <c r="B344" s="15" t="n"/>
      <c r="C344" s="20">
        <f>IF(B344="","",IFERROR(VLOOKUP(B344,'📦产品库'!$B$4:$D$9999,2,0),"⚠️未找到"))</f>
        <v/>
      </c>
      <c r="D344" s="21">
        <f>IF(B344="","",IFERROR(VLOOKUP(B344,'📦产品库'!$B$4:$E$9999,4,0),""))</f>
        <v/>
      </c>
      <c r="E344" s="21">
        <f>IF(B344="","",IFERROR(VLOOKUP(B344,'📦产品库'!$B$4:$F$9999,5,0),""))</f>
        <v/>
      </c>
      <c r="F344" s="22">
        <f>IF(B344="","",IFERROR(VLOOKUP(B344,'📦产品库'!$B$4:$G$9999,6,0),""))</f>
        <v/>
      </c>
      <c r="G344" s="16" t="n"/>
      <c r="H344" s="23">
        <f>IF(B344="","",1)</f>
        <v/>
      </c>
      <c r="I344" s="17">
        <f>IF(B344="","",IF(G344&lt;&gt;"",G344*H344,F344*H344))</f>
        <v/>
      </c>
      <c r="J344" s="24" t="n"/>
      <c r="K344" s="18">
        <f>IF(B344="","",IF(G344&gt;=2000,20,IF(G344&gt;=1000,10,0)))</f>
        <v/>
      </c>
      <c r="L344" s="27" t="n"/>
    </row>
    <row r="345" ht="18" customHeight="1">
      <c r="A345" s="19">
        <f>IF(B345="","",ROW()-4)</f>
        <v/>
      </c>
      <c r="B345" s="15" t="n"/>
      <c r="C345" s="20">
        <f>IF(B345="","",IFERROR(VLOOKUP(B345,'📦产品库'!$B$4:$D$9999,2,0),"⚠️未找到"))</f>
        <v/>
      </c>
      <c r="D345" s="21">
        <f>IF(B345="","",IFERROR(VLOOKUP(B345,'📦产品库'!$B$4:$E$9999,4,0),""))</f>
        <v/>
      </c>
      <c r="E345" s="21">
        <f>IF(B345="","",IFERROR(VLOOKUP(B345,'📦产品库'!$B$4:$F$9999,5,0),""))</f>
        <v/>
      </c>
      <c r="F345" s="22">
        <f>IF(B345="","",IFERROR(VLOOKUP(B345,'📦产品库'!$B$4:$G$9999,6,0),""))</f>
        <v/>
      </c>
      <c r="G345" s="16" t="n"/>
      <c r="H345" s="23">
        <f>IF(B345="","",1)</f>
        <v/>
      </c>
      <c r="I345" s="17">
        <f>IF(B345="","",IF(G345&lt;&gt;"",G345*H345,F345*H345))</f>
        <v/>
      </c>
      <c r="J345" s="24" t="n"/>
      <c r="K345" s="18">
        <f>IF(B345="","",IF(G345&gt;=2000,20,IF(G345&gt;=1000,10,0)))</f>
        <v/>
      </c>
      <c r="L345" s="25" t="n"/>
    </row>
    <row r="346" ht="18" customHeight="1">
      <c r="A346" s="26">
        <f>IF(B346="","",ROW()-4)</f>
        <v/>
      </c>
      <c r="B346" s="15" t="n"/>
      <c r="C346" s="20">
        <f>IF(B346="","",IFERROR(VLOOKUP(B346,'📦产品库'!$B$4:$D$9999,2,0),"⚠️未找到"))</f>
        <v/>
      </c>
      <c r="D346" s="21">
        <f>IF(B346="","",IFERROR(VLOOKUP(B346,'📦产品库'!$B$4:$E$9999,4,0),""))</f>
        <v/>
      </c>
      <c r="E346" s="21">
        <f>IF(B346="","",IFERROR(VLOOKUP(B346,'📦产品库'!$B$4:$F$9999,5,0),""))</f>
        <v/>
      </c>
      <c r="F346" s="22">
        <f>IF(B346="","",IFERROR(VLOOKUP(B346,'📦产品库'!$B$4:$G$9999,6,0),""))</f>
        <v/>
      </c>
      <c r="G346" s="16" t="n"/>
      <c r="H346" s="23">
        <f>IF(B346="","",1)</f>
        <v/>
      </c>
      <c r="I346" s="17">
        <f>IF(B346="","",IF(G346&lt;&gt;"",G346*H346,F346*H346))</f>
        <v/>
      </c>
      <c r="J346" s="24" t="n"/>
      <c r="K346" s="18">
        <f>IF(B346="","",IF(G346&gt;=2000,20,IF(G346&gt;=1000,10,0)))</f>
        <v/>
      </c>
      <c r="L346" s="27" t="n"/>
    </row>
    <row r="347" ht="18" customHeight="1">
      <c r="A347" s="19">
        <f>IF(B347="","",ROW()-4)</f>
        <v/>
      </c>
      <c r="B347" s="15" t="n"/>
      <c r="C347" s="20">
        <f>IF(B347="","",IFERROR(VLOOKUP(B347,'📦产品库'!$B$4:$D$9999,2,0),"⚠️未找到"))</f>
        <v/>
      </c>
      <c r="D347" s="21">
        <f>IF(B347="","",IFERROR(VLOOKUP(B347,'📦产品库'!$B$4:$E$9999,4,0),""))</f>
        <v/>
      </c>
      <c r="E347" s="21">
        <f>IF(B347="","",IFERROR(VLOOKUP(B347,'📦产品库'!$B$4:$F$9999,5,0),""))</f>
        <v/>
      </c>
      <c r="F347" s="22">
        <f>IF(B347="","",IFERROR(VLOOKUP(B347,'📦产品库'!$B$4:$G$9999,6,0),""))</f>
        <v/>
      </c>
      <c r="G347" s="16" t="n"/>
      <c r="H347" s="23">
        <f>IF(B347="","",1)</f>
        <v/>
      </c>
      <c r="I347" s="17">
        <f>IF(B347="","",IF(G347&lt;&gt;"",G347*H347,F347*H347))</f>
        <v/>
      </c>
      <c r="J347" s="24" t="n"/>
      <c r="K347" s="18">
        <f>IF(B347="","",IF(G347&gt;=2000,20,IF(G347&gt;=1000,10,0)))</f>
        <v/>
      </c>
      <c r="L347" s="25" t="n"/>
    </row>
    <row r="348" ht="18" customHeight="1">
      <c r="A348" s="26">
        <f>IF(B348="","",ROW()-4)</f>
        <v/>
      </c>
      <c r="B348" s="15" t="n"/>
      <c r="C348" s="20">
        <f>IF(B348="","",IFERROR(VLOOKUP(B348,'📦产品库'!$B$4:$D$9999,2,0),"⚠️未找到"))</f>
        <v/>
      </c>
      <c r="D348" s="21">
        <f>IF(B348="","",IFERROR(VLOOKUP(B348,'📦产品库'!$B$4:$E$9999,4,0),""))</f>
        <v/>
      </c>
      <c r="E348" s="21">
        <f>IF(B348="","",IFERROR(VLOOKUP(B348,'📦产品库'!$B$4:$F$9999,5,0),""))</f>
        <v/>
      </c>
      <c r="F348" s="22">
        <f>IF(B348="","",IFERROR(VLOOKUP(B348,'📦产品库'!$B$4:$G$9999,6,0),""))</f>
        <v/>
      </c>
      <c r="G348" s="16" t="n"/>
      <c r="H348" s="23">
        <f>IF(B348="","",1)</f>
        <v/>
      </c>
      <c r="I348" s="17">
        <f>IF(B348="","",IF(G348&lt;&gt;"",G348*H348,F348*H348))</f>
        <v/>
      </c>
      <c r="J348" s="24" t="n"/>
      <c r="K348" s="18">
        <f>IF(B348="","",IF(G348&gt;=2000,20,IF(G348&gt;=1000,10,0)))</f>
        <v/>
      </c>
      <c r="L348" s="27" t="n"/>
    </row>
    <row r="349" ht="18" customHeight="1">
      <c r="A349" s="19">
        <f>IF(B349="","",ROW()-4)</f>
        <v/>
      </c>
      <c r="B349" s="15" t="n"/>
      <c r="C349" s="20">
        <f>IF(B349="","",IFERROR(VLOOKUP(B349,'📦产品库'!$B$4:$D$9999,2,0),"⚠️未找到"))</f>
        <v/>
      </c>
      <c r="D349" s="21">
        <f>IF(B349="","",IFERROR(VLOOKUP(B349,'📦产品库'!$B$4:$E$9999,4,0),""))</f>
        <v/>
      </c>
      <c r="E349" s="21">
        <f>IF(B349="","",IFERROR(VLOOKUP(B349,'📦产品库'!$B$4:$F$9999,5,0),""))</f>
        <v/>
      </c>
      <c r="F349" s="22">
        <f>IF(B349="","",IFERROR(VLOOKUP(B349,'📦产品库'!$B$4:$G$9999,6,0),""))</f>
        <v/>
      </c>
      <c r="G349" s="16" t="n"/>
      <c r="H349" s="23">
        <f>IF(B349="","",1)</f>
        <v/>
      </c>
      <c r="I349" s="17">
        <f>IF(B349="","",IF(G349&lt;&gt;"",G349*H349,F349*H349))</f>
        <v/>
      </c>
      <c r="J349" s="24" t="n"/>
      <c r="K349" s="18">
        <f>IF(B349="","",IF(G349&gt;=2000,20,IF(G349&gt;=1000,10,0)))</f>
        <v/>
      </c>
      <c r="L349" s="25" t="n"/>
    </row>
    <row r="350" ht="18" customHeight="1">
      <c r="A350" s="26">
        <f>IF(B350="","",ROW()-4)</f>
        <v/>
      </c>
      <c r="B350" s="15" t="n"/>
      <c r="C350" s="20">
        <f>IF(B350="","",IFERROR(VLOOKUP(B350,'📦产品库'!$B$4:$D$9999,2,0),"⚠️未找到"))</f>
        <v/>
      </c>
      <c r="D350" s="21">
        <f>IF(B350="","",IFERROR(VLOOKUP(B350,'📦产品库'!$B$4:$E$9999,4,0),""))</f>
        <v/>
      </c>
      <c r="E350" s="21">
        <f>IF(B350="","",IFERROR(VLOOKUP(B350,'📦产品库'!$B$4:$F$9999,5,0),""))</f>
        <v/>
      </c>
      <c r="F350" s="22">
        <f>IF(B350="","",IFERROR(VLOOKUP(B350,'📦产品库'!$B$4:$G$9999,6,0),""))</f>
        <v/>
      </c>
      <c r="G350" s="16" t="n"/>
      <c r="H350" s="23">
        <f>IF(B350="","",1)</f>
        <v/>
      </c>
      <c r="I350" s="17">
        <f>IF(B350="","",IF(G350&lt;&gt;"",G350*H350,F350*H350))</f>
        <v/>
      </c>
      <c r="J350" s="24" t="n"/>
      <c r="K350" s="18">
        <f>IF(B350="","",IF(G350&gt;=2000,20,IF(G350&gt;=1000,10,0)))</f>
        <v/>
      </c>
      <c r="L350" s="27" t="n"/>
    </row>
    <row r="351" ht="18" customHeight="1">
      <c r="A351" s="19">
        <f>IF(B351="","",ROW()-4)</f>
        <v/>
      </c>
      <c r="B351" s="15" t="n"/>
      <c r="C351" s="20">
        <f>IF(B351="","",IFERROR(VLOOKUP(B351,'📦产品库'!$B$4:$D$9999,2,0),"⚠️未找到"))</f>
        <v/>
      </c>
      <c r="D351" s="21">
        <f>IF(B351="","",IFERROR(VLOOKUP(B351,'📦产品库'!$B$4:$E$9999,4,0),""))</f>
        <v/>
      </c>
      <c r="E351" s="21">
        <f>IF(B351="","",IFERROR(VLOOKUP(B351,'📦产品库'!$B$4:$F$9999,5,0),""))</f>
        <v/>
      </c>
      <c r="F351" s="22">
        <f>IF(B351="","",IFERROR(VLOOKUP(B351,'📦产品库'!$B$4:$G$9999,6,0),""))</f>
        <v/>
      </c>
      <c r="G351" s="16" t="n"/>
      <c r="H351" s="23">
        <f>IF(B351="","",1)</f>
        <v/>
      </c>
      <c r="I351" s="17">
        <f>IF(B351="","",IF(G351&lt;&gt;"",G351*H351,F351*H351))</f>
        <v/>
      </c>
      <c r="J351" s="24" t="n"/>
      <c r="K351" s="18">
        <f>IF(B351="","",IF(G351&gt;=2000,20,IF(G351&gt;=1000,10,0)))</f>
        <v/>
      </c>
      <c r="L351" s="25" t="n"/>
    </row>
    <row r="352" ht="18" customHeight="1">
      <c r="A352" s="26">
        <f>IF(B352="","",ROW()-4)</f>
        <v/>
      </c>
      <c r="B352" s="15" t="n"/>
      <c r="C352" s="20">
        <f>IF(B352="","",IFERROR(VLOOKUP(B352,'📦产品库'!$B$4:$D$9999,2,0),"⚠️未找到"))</f>
        <v/>
      </c>
      <c r="D352" s="21">
        <f>IF(B352="","",IFERROR(VLOOKUP(B352,'📦产品库'!$B$4:$E$9999,4,0),""))</f>
        <v/>
      </c>
      <c r="E352" s="21">
        <f>IF(B352="","",IFERROR(VLOOKUP(B352,'📦产品库'!$B$4:$F$9999,5,0),""))</f>
        <v/>
      </c>
      <c r="F352" s="22">
        <f>IF(B352="","",IFERROR(VLOOKUP(B352,'📦产品库'!$B$4:$G$9999,6,0),""))</f>
        <v/>
      </c>
      <c r="G352" s="16" t="n"/>
      <c r="H352" s="23">
        <f>IF(B352="","",1)</f>
        <v/>
      </c>
      <c r="I352" s="17">
        <f>IF(B352="","",IF(G352&lt;&gt;"",G352*H352,F352*H352))</f>
        <v/>
      </c>
      <c r="J352" s="24" t="n"/>
      <c r="K352" s="18">
        <f>IF(B352="","",IF(G352&gt;=2000,20,IF(G352&gt;=1000,10,0)))</f>
        <v/>
      </c>
      <c r="L352" s="27" t="n"/>
    </row>
    <row r="353" ht="18" customHeight="1">
      <c r="A353" s="19">
        <f>IF(B353="","",ROW()-4)</f>
        <v/>
      </c>
      <c r="B353" s="15" t="n"/>
      <c r="C353" s="20">
        <f>IF(B353="","",IFERROR(VLOOKUP(B353,'📦产品库'!$B$4:$D$9999,2,0),"⚠️未找到"))</f>
        <v/>
      </c>
      <c r="D353" s="21">
        <f>IF(B353="","",IFERROR(VLOOKUP(B353,'📦产品库'!$B$4:$E$9999,4,0),""))</f>
        <v/>
      </c>
      <c r="E353" s="21">
        <f>IF(B353="","",IFERROR(VLOOKUP(B353,'📦产品库'!$B$4:$F$9999,5,0),""))</f>
        <v/>
      </c>
      <c r="F353" s="22">
        <f>IF(B353="","",IFERROR(VLOOKUP(B353,'📦产品库'!$B$4:$G$9999,6,0),""))</f>
        <v/>
      </c>
      <c r="G353" s="16" t="n"/>
      <c r="H353" s="23">
        <f>IF(B353="","",1)</f>
        <v/>
      </c>
      <c r="I353" s="17">
        <f>IF(B353="","",IF(G353&lt;&gt;"",G353*H353,F353*H353))</f>
        <v/>
      </c>
      <c r="J353" s="24" t="n"/>
      <c r="K353" s="18">
        <f>IF(B353="","",IF(G353&gt;=2000,20,IF(G353&gt;=1000,10,0)))</f>
        <v/>
      </c>
      <c r="L353" s="25" t="n"/>
    </row>
    <row r="354" ht="18" customHeight="1">
      <c r="A354" s="26">
        <f>IF(B354="","",ROW()-4)</f>
        <v/>
      </c>
      <c r="B354" s="15" t="n"/>
      <c r="C354" s="20">
        <f>IF(B354="","",IFERROR(VLOOKUP(B354,'📦产品库'!$B$4:$D$9999,2,0),"⚠️未找到"))</f>
        <v/>
      </c>
      <c r="D354" s="21">
        <f>IF(B354="","",IFERROR(VLOOKUP(B354,'📦产品库'!$B$4:$E$9999,4,0),""))</f>
        <v/>
      </c>
      <c r="E354" s="21">
        <f>IF(B354="","",IFERROR(VLOOKUP(B354,'📦产品库'!$B$4:$F$9999,5,0),""))</f>
        <v/>
      </c>
      <c r="F354" s="22">
        <f>IF(B354="","",IFERROR(VLOOKUP(B354,'📦产品库'!$B$4:$G$9999,6,0),""))</f>
        <v/>
      </c>
      <c r="G354" s="16" t="n"/>
      <c r="H354" s="23">
        <f>IF(B354="","",1)</f>
        <v/>
      </c>
      <c r="I354" s="17">
        <f>IF(B354="","",IF(G354&lt;&gt;"",G354*H354,F354*H354))</f>
        <v/>
      </c>
      <c r="J354" s="24" t="n"/>
      <c r="K354" s="18">
        <f>IF(B354="","",IF(G354&gt;=2000,20,IF(G354&gt;=1000,10,0)))</f>
        <v/>
      </c>
      <c r="L354" s="27" t="n"/>
    </row>
    <row r="355" ht="18" customHeight="1">
      <c r="A355" s="19">
        <f>IF(B355="","",ROW()-4)</f>
        <v/>
      </c>
      <c r="B355" s="15" t="n"/>
      <c r="C355" s="20">
        <f>IF(B355="","",IFERROR(VLOOKUP(B355,'📦产品库'!$B$4:$D$9999,2,0),"⚠️未找到"))</f>
        <v/>
      </c>
      <c r="D355" s="21">
        <f>IF(B355="","",IFERROR(VLOOKUP(B355,'📦产品库'!$B$4:$E$9999,4,0),""))</f>
        <v/>
      </c>
      <c r="E355" s="21">
        <f>IF(B355="","",IFERROR(VLOOKUP(B355,'📦产品库'!$B$4:$F$9999,5,0),""))</f>
        <v/>
      </c>
      <c r="F355" s="22">
        <f>IF(B355="","",IFERROR(VLOOKUP(B355,'📦产品库'!$B$4:$G$9999,6,0),""))</f>
        <v/>
      </c>
      <c r="G355" s="16" t="n"/>
      <c r="H355" s="23">
        <f>IF(B355="","",1)</f>
        <v/>
      </c>
      <c r="I355" s="17">
        <f>IF(B355="","",IF(G355&lt;&gt;"",G355*H355,F355*H355))</f>
        <v/>
      </c>
      <c r="J355" s="24" t="n"/>
      <c r="K355" s="18">
        <f>IF(B355="","",IF(G355&gt;=2000,20,IF(G355&gt;=1000,10,0)))</f>
        <v/>
      </c>
      <c r="L355" s="25" t="n"/>
    </row>
    <row r="356" ht="18" customHeight="1">
      <c r="A356" s="26">
        <f>IF(B356="","",ROW()-4)</f>
        <v/>
      </c>
      <c r="B356" s="15" t="n"/>
      <c r="C356" s="20">
        <f>IF(B356="","",IFERROR(VLOOKUP(B356,'📦产品库'!$B$4:$D$9999,2,0),"⚠️未找到"))</f>
        <v/>
      </c>
      <c r="D356" s="21">
        <f>IF(B356="","",IFERROR(VLOOKUP(B356,'📦产品库'!$B$4:$E$9999,4,0),""))</f>
        <v/>
      </c>
      <c r="E356" s="21">
        <f>IF(B356="","",IFERROR(VLOOKUP(B356,'📦产品库'!$B$4:$F$9999,5,0),""))</f>
        <v/>
      </c>
      <c r="F356" s="22">
        <f>IF(B356="","",IFERROR(VLOOKUP(B356,'📦产品库'!$B$4:$G$9999,6,0),""))</f>
        <v/>
      </c>
      <c r="G356" s="16" t="n"/>
      <c r="H356" s="23">
        <f>IF(B356="","",1)</f>
        <v/>
      </c>
      <c r="I356" s="17">
        <f>IF(B356="","",IF(G356&lt;&gt;"",G356*H356,F356*H356))</f>
        <v/>
      </c>
      <c r="J356" s="24" t="n"/>
      <c r="K356" s="18">
        <f>IF(B356="","",IF(G356&gt;=2000,20,IF(G356&gt;=1000,10,0)))</f>
        <v/>
      </c>
      <c r="L356" s="27" t="n"/>
    </row>
    <row r="357" ht="18" customHeight="1">
      <c r="A357" s="19">
        <f>IF(B357="","",ROW()-4)</f>
        <v/>
      </c>
      <c r="B357" s="15" t="n"/>
      <c r="C357" s="20">
        <f>IF(B357="","",IFERROR(VLOOKUP(B357,'📦产品库'!$B$4:$D$9999,2,0),"⚠️未找到"))</f>
        <v/>
      </c>
      <c r="D357" s="21">
        <f>IF(B357="","",IFERROR(VLOOKUP(B357,'📦产品库'!$B$4:$E$9999,4,0),""))</f>
        <v/>
      </c>
      <c r="E357" s="21">
        <f>IF(B357="","",IFERROR(VLOOKUP(B357,'📦产品库'!$B$4:$F$9999,5,0),""))</f>
        <v/>
      </c>
      <c r="F357" s="22">
        <f>IF(B357="","",IFERROR(VLOOKUP(B357,'📦产品库'!$B$4:$G$9999,6,0),""))</f>
        <v/>
      </c>
      <c r="G357" s="16" t="n"/>
      <c r="H357" s="23">
        <f>IF(B357="","",1)</f>
        <v/>
      </c>
      <c r="I357" s="17">
        <f>IF(B357="","",IF(G357&lt;&gt;"",G357*H357,F357*H357))</f>
        <v/>
      </c>
      <c r="J357" s="24" t="n"/>
      <c r="K357" s="18">
        <f>IF(B357="","",IF(G357&gt;=2000,20,IF(G357&gt;=1000,10,0)))</f>
        <v/>
      </c>
      <c r="L357" s="25" t="n"/>
    </row>
    <row r="358" ht="18" customHeight="1">
      <c r="A358" s="26">
        <f>IF(B358="","",ROW()-4)</f>
        <v/>
      </c>
      <c r="B358" s="15" t="n"/>
      <c r="C358" s="20">
        <f>IF(B358="","",IFERROR(VLOOKUP(B358,'📦产品库'!$B$4:$D$9999,2,0),"⚠️未找到"))</f>
        <v/>
      </c>
      <c r="D358" s="21">
        <f>IF(B358="","",IFERROR(VLOOKUP(B358,'📦产品库'!$B$4:$E$9999,4,0),""))</f>
        <v/>
      </c>
      <c r="E358" s="21">
        <f>IF(B358="","",IFERROR(VLOOKUP(B358,'📦产品库'!$B$4:$F$9999,5,0),""))</f>
        <v/>
      </c>
      <c r="F358" s="22">
        <f>IF(B358="","",IFERROR(VLOOKUP(B358,'📦产品库'!$B$4:$G$9999,6,0),""))</f>
        <v/>
      </c>
      <c r="G358" s="16" t="n"/>
      <c r="H358" s="23">
        <f>IF(B358="","",1)</f>
        <v/>
      </c>
      <c r="I358" s="17">
        <f>IF(B358="","",IF(G358&lt;&gt;"",G358*H358,F358*H358))</f>
        <v/>
      </c>
      <c r="J358" s="24" t="n"/>
      <c r="K358" s="18">
        <f>IF(B358="","",IF(G358&gt;=2000,20,IF(G358&gt;=1000,10,0)))</f>
        <v/>
      </c>
      <c r="L358" s="27" t="n"/>
    </row>
    <row r="359" ht="18" customHeight="1">
      <c r="A359" s="19">
        <f>IF(B359="","",ROW()-4)</f>
        <v/>
      </c>
      <c r="B359" s="15" t="n"/>
      <c r="C359" s="20">
        <f>IF(B359="","",IFERROR(VLOOKUP(B359,'📦产品库'!$B$4:$D$9999,2,0),"⚠️未找到"))</f>
        <v/>
      </c>
      <c r="D359" s="21">
        <f>IF(B359="","",IFERROR(VLOOKUP(B359,'📦产品库'!$B$4:$E$9999,4,0),""))</f>
        <v/>
      </c>
      <c r="E359" s="21">
        <f>IF(B359="","",IFERROR(VLOOKUP(B359,'📦产品库'!$B$4:$F$9999,5,0),""))</f>
        <v/>
      </c>
      <c r="F359" s="22">
        <f>IF(B359="","",IFERROR(VLOOKUP(B359,'📦产品库'!$B$4:$G$9999,6,0),""))</f>
        <v/>
      </c>
      <c r="G359" s="16" t="n"/>
      <c r="H359" s="23">
        <f>IF(B359="","",1)</f>
        <v/>
      </c>
      <c r="I359" s="17">
        <f>IF(B359="","",IF(G359&lt;&gt;"",G359*H359,F359*H359))</f>
        <v/>
      </c>
      <c r="J359" s="24" t="n"/>
      <c r="K359" s="18">
        <f>IF(B359="","",IF(G359&gt;=2000,20,IF(G359&gt;=1000,10,0)))</f>
        <v/>
      </c>
      <c r="L359" s="25" t="n"/>
    </row>
    <row r="360" ht="18" customHeight="1">
      <c r="A360" s="26">
        <f>IF(B360="","",ROW()-4)</f>
        <v/>
      </c>
      <c r="B360" s="15" t="n"/>
      <c r="C360" s="20">
        <f>IF(B360="","",IFERROR(VLOOKUP(B360,'📦产品库'!$B$4:$D$9999,2,0),"⚠️未找到"))</f>
        <v/>
      </c>
      <c r="D360" s="21">
        <f>IF(B360="","",IFERROR(VLOOKUP(B360,'📦产品库'!$B$4:$E$9999,4,0),""))</f>
        <v/>
      </c>
      <c r="E360" s="21">
        <f>IF(B360="","",IFERROR(VLOOKUP(B360,'📦产品库'!$B$4:$F$9999,5,0),""))</f>
        <v/>
      </c>
      <c r="F360" s="22">
        <f>IF(B360="","",IFERROR(VLOOKUP(B360,'📦产品库'!$B$4:$G$9999,6,0),""))</f>
        <v/>
      </c>
      <c r="G360" s="16" t="n"/>
      <c r="H360" s="23">
        <f>IF(B360="","",1)</f>
        <v/>
      </c>
      <c r="I360" s="17">
        <f>IF(B360="","",IF(G360&lt;&gt;"",G360*H360,F360*H360))</f>
        <v/>
      </c>
      <c r="J360" s="24" t="n"/>
      <c r="K360" s="18">
        <f>IF(B360="","",IF(G360&gt;=2000,20,IF(G360&gt;=1000,10,0)))</f>
        <v/>
      </c>
      <c r="L360" s="27" t="n"/>
    </row>
    <row r="361" ht="18" customHeight="1">
      <c r="A361" s="19">
        <f>IF(B361="","",ROW()-4)</f>
        <v/>
      </c>
      <c r="B361" s="15" t="n"/>
      <c r="C361" s="20">
        <f>IF(B361="","",IFERROR(VLOOKUP(B361,'📦产品库'!$B$4:$D$9999,2,0),"⚠️未找到"))</f>
        <v/>
      </c>
      <c r="D361" s="21">
        <f>IF(B361="","",IFERROR(VLOOKUP(B361,'📦产品库'!$B$4:$E$9999,4,0),""))</f>
        <v/>
      </c>
      <c r="E361" s="21">
        <f>IF(B361="","",IFERROR(VLOOKUP(B361,'📦产品库'!$B$4:$F$9999,5,0),""))</f>
        <v/>
      </c>
      <c r="F361" s="22">
        <f>IF(B361="","",IFERROR(VLOOKUP(B361,'📦产品库'!$B$4:$G$9999,6,0),""))</f>
        <v/>
      </c>
      <c r="G361" s="16" t="n"/>
      <c r="H361" s="23">
        <f>IF(B361="","",1)</f>
        <v/>
      </c>
      <c r="I361" s="17">
        <f>IF(B361="","",IF(G361&lt;&gt;"",G361*H361,F361*H361))</f>
        <v/>
      </c>
      <c r="J361" s="24" t="n"/>
      <c r="K361" s="18">
        <f>IF(B361="","",IF(G361&gt;=2000,20,IF(G361&gt;=1000,10,0)))</f>
        <v/>
      </c>
      <c r="L361" s="25" t="n"/>
    </row>
    <row r="362" ht="18" customHeight="1">
      <c r="A362" s="26">
        <f>IF(B362="","",ROW()-4)</f>
        <v/>
      </c>
      <c r="B362" s="15" t="n"/>
      <c r="C362" s="20">
        <f>IF(B362="","",IFERROR(VLOOKUP(B362,'📦产品库'!$B$4:$D$9999,2,0),"⚠️未找到"))</f>
        <v/>
      </c>
      <c r="D362" s="21">
        <f>IF(B362="","",IFERROR(VLOOKUP(B362,'📦产品库'!$B$4:$E$9999,4,0),""))</f>
        <v/>
      </c>
      <c r="E362" s="21">
        <f>IF(B362="","",IFERROR(VLOOKUP(B362,'📦产品库'!$B$4:$F$9999,5,0),""))</f>
        <v/>
      </c>
      <c r="F362" s="22">
        <f>IF(B362="","",IFERROR(VLOOKUP(B362,'📦产品库'!$B$4:$G$9999,6,0),""))</f>
        <v/>
      </c>
      <c r="G362" s="16" t="n"/>
      <c r="H362" s="23">
        <f>IF(B362="","",1)</f>
        <v/>
      </c>
      <c r="I362" s="17">
        <f>IF(B362="","",IF(G362&lt;&gt;"",G362*H362,F362*H362))</f>
        <v/>
      </c>
      <c r="J362" s="24" t="n"/>
      <c r="K362" s="18">
        <f>IF(B362="","",IF(G362&gt;=2000,20,IF(G362&gt;=1000,10,0)))</f>
        <v/>
      </c>
      <c r="L362" s="27" t="n"/>
    </row>
    <row r="363" ht="18" customHeight="1">
      <c r="A363" s="19">
        <f>IF(B363="","",ROW()-4)</f>
        <v/>
      </c>
      <c r="B363" s="15" t="n"/>
      <c r="C363" s="20">
        <f>IF(B363="","",IFERROR(VLOOKUP(B363,'📦产品库'!$B$4:$D$9999,2,0),"⚠️未找到"))</f>
        <v/>
      </c>
      <c r="D363" s="21">
        <f>IF(B363="","",IFERROR(VLOOKUP(B363,'📦产品库'!$B$4:$E$9999,4,0),""))</f>
        <v/>
      </c>
      <c r="E363" s="21">
        <f>IF(B363="","",IFERROR(VLOOKUP(B363,'📦产品库'!$B$4:$F$9999,5,0),""))</f>
        <v/>
      </c>
      <c r="F363" s="22">
        <f>IF(B363="","",IFERROR(VLOOKUP(B363,'📦产品库'!$B$4:$G$9999,6,0),""))</f>
        <v/>
      </c>
      <c r="G363" s="16" t="n"/>
      <c r="H363" s="23">
        <f>IF(B363="","",1)</f>
        <v/>
      </c>
      <c r="I363" s="17">
        <f>IF(B363="","",IF(G363&lt;&gt;"",G363*H363,F363*H363))</f>
        <v/>
      </c>
      <c r="J363" s="24" t="n"/>
      <c r="K363" s="18">
        <f>IF(B363="","",IF(G363&gt;=2000,20,IF(G363&gt;=1000,10,0)))</f>
        <v/>
      </c>
      <c r="L363" s="25" t="n"/>
    </row>
    <row r="364" ht="18" customHeight="1">
      <c r="A364" s="26">
        <f>IF(B364="","",ROW()-4)</f>
        <v/>
      </c>
      <c r="B364" s="15" t="n"/>
      <c r="C364" s="20">
        <f>IF(B364="","",IFERROR(VLOOKUP(B364,'📦产品库'!$B$4:$D$9999,2,0),"⚠️未找到"))</f>
        <v/>
      </c>
      <c r="D364" s="21">
        <f>IF(B364="","",IFERROR(VLOOKUP(B364,'📦产品库'!$B$4:$E$9999,4,0),""))</f>
        <v/>
      </c>
      <c r="E364" s="21">
        <f>IF(B364="","",IFERROR(VLOOKUP(B364,'📦产品库'!$B$4:$F$9999,5,0),""))</f>
        <v/>
      </c>
      <c r="F364" s="22">
        <f>IF(B364="","",IFERROR(VLOOKUP(B364,'📦产品库'!$B$4:$G$9999,6,0),""))</f>
        <v/>
      </c>
      <c r="G364" s="16" t="n"/>
      <c r="H364" s="23">
        <f>IF(B364="","",1)</f>
        <v/>
      </c>
      <c r="I364" s="17">
        <f>IF(B364="","",IF(G364&lt;&gt;"",G364*H364,F364*H364))</f>
        <v/>
      </c>
      <c r="J364" s="24" t="n"/>
      <c r="K364" s="18">
        <f>IF(B364="","",IF(G364&gt;=2000,20,IF(G364&gt;=1000,10,0)))</f>
        <v/>
      </c>
      <c r="L364" s="27" t="n"/>
    </row>
    <row r="365" ht="18" customHeight="1">
      <c r="A365" s="19">
        <f>IF(B365="","",ROW()-4)</f>
        <v/>
      </c>
      <c r="B365" s="15" t="n"/>
      <c r="C365" s="20">
        <f>IF(B365="","",IFERROR(VLOOKUP(B365,'📦产品库'!$B$4:$D$9999,2,0),"⚠️未找到"))</f>
        <v/>
      </c>
      <c r="D365" s="21">
        <f>IF(B365="","",IFERROR(VLOOKUP(B365,'📦产品库'!$B$4:$E$9999,4,0),""))</f>
        <v/>
      </c>
      <c r="E365" s="21">
        <f>IF(B365="","",IFERROR(VLOOKUP(B365,'📦产品库'!$B$4:$F$9999,5,0),""))</f>
        <v/>
      </c>
      <c r="F365" s="22">
        <f>IF(B365="","",IFERROR(VLOOKUP(B365,'📦产品库'!$B$4:$G$9999,6,0),""))</f>
        <v/>
      </c>
      <c r="G365" s="16" t="n"/>
      <c r="H365" s="23">
        <f>IF(B365="","",1)</f>
        <v/>
      </c>
      <c r="I365" s="17">
        <f>IF(B365="","",IF(G365&lt;&gt;"",G365*H365,F365*H365))</f>
        <v/>
      </c>
      <c r="J365" s="24" t="n"/>
      <c r="K365" s="18">
        <f>IF(B365="","",IF(G365&gt;=2000,20,IF(G365&gt;=1000,10,0)))</f>
        <v/>
      </c>
      <c r="L365" s="25" t="n"/>
    </row>
    <row r="366" ht="18" customHeight="1">
      <c r="A366" s="26">
        <f>IF(B366="","",ROW()-4)</f>
        <v/>
      </c>
      <c r="B366" s="15" t="n"/>
      <c r="C366" s="20">
        <f>IF(B366="","",IFERROR(VLOOKUP(B366,'📦产品库'!$B$4:$D$9999,2,0),"⚠️未找到"))</f>
        <v/>
      </c>
      <c r="D366" s="21">
        <f>IF(B366="","",IFERROR(VLOOKUP(B366,'📦产品库'!$B$4:$E$9999,4,0),""))</f>
        <v/>
      </c>
      <c r="E366" s="21">
        <f>IF(B366="","",IFERROR(VLOOKUP(B366,'📦产品库'!$B$4:$F$9999,5,0),""))</f>
        <v/>
      </c>
      <c r="F366" s="22">
        <f>IF(B366="","",IFERROR(VLOOKUP(B366,'📦产品库'!$B$4:$G$9999,6,0),""))</f>
        <v/>
      </c>
      <c r="G366" s="16" t="n"/>
      <c r="H366" s="23">
        <f>IF(B366="","",1)</f>
        <v/>
      </c>
      <c r="I366" s="17">
        <f>IF(B366="","",IF(G366&lt;&gt;"",G366*H366,F366*H366))</f>
        <v/>
      </c>
      <c r="J366" s="24" t="n"/>
      <c r="K366" s="18">
        <f>IF(B366="","",IF(G366&gt;=2000,20,IF(G366&gt;=1000,10,0)))</f>
        <v/>
      </c>
      <c r="L366" s="27" t="n"/>
    </row>
    <row r="367" ht="18" customHeight="1">
      <c r="A367" s="19">
        <f>IF(B367="","",ROW()-4)</f>
        <v/>
      </c>
      <c r="B367" s="15" t="n"/>
      <c r="C367" s="20">
        <f>IF(B367="","",IFERROR(VLOOKUP(B367,'📦产品库'!$B$4:$D$9999,2,0),"⚠️未找到"))</f>
        <v/>
      </c>
      <c r="D367" s="21">
        <f>IF(B367="","",IFERROR(VLOOKUP(B367,'📦产品库'!$B$4:$E$9999,4,0),""))</f>
        <v/>
      </c>
      <c r="E367" s="21">
        <f>IF(B367="","",IFERROR(VLOOKUP(B367,'📦产品库'!$B$4:$F$9999,5,0),""))</f>
        <v/>
      </c>
      <c r="F367" s="22">
        <f>IF(B367="","",IFERROR(VLOOKUP(B367,'📦产品库'!$B$4:$G$9999,6,0),""))</f>
        <v/>
      </c>
      <c r="G367" s="16" t="n"/>
      <c r="H367" s="23">
        <f>IF(B367="","",1)</f>
        <v/>
      </c>
      <c r="I367" s="17">
        <f>IF(B367="","",IF(G367&lt;&gt;"",G367*H367,F367*H367))</f>
        <v/>
      </c>
      <c r="J367" s="24" t="n"/>
      <c r="K367" s="18">
        <f>IF(B367="","",IF(G367&gt;=2000,20,IF(G367&gt;=1000,10,0)))</f>
        <v/>
      </c>
      <c r="L367" s="25" t="n"/>
    </row>
    <row r="368" ht="18" customHeight="1">
      <c r="A368" s="26">
        <f>IF(B368="","",ROW()-4)</f>
        <v/>
      </c>
      <c r="B368" s="15" t="n"/>
      <c r="C368" s="20">
        <f>IF(B368="","",IFERROR(VLOOKUP(B368,'📦产品库'!$B$4:$D$9999,2,0),"⚠️未找到"))</f>
        <v/>
      </c>
      <c r="D368" s="21">
        <f>IF(B368="","",IFERROR(VLOOKUP(B368,'📦产品库'!$B$4:$E$9999,4,0),""))</f>
        <v/>
      </c>
      <c r="E368" s="21">
        <f>IF(B368="","",IFERROR(VLOOKUP(B368,'📦产品库'!$B$4:$F$9999,5,0),""))</f>
        <v/>
      </c>
      <c r="F368" s="22">
        <f>IF(B368="","",IFERROR(VLOOKUP(B368,'📦产品库'!$B$4:$G$9999,6,0),""))</f>
        <v/>
      </c>
      <c r="G368" s="16" t="n"/>
      <c r="H368" s="23">
        <f>IF(B368="","",1)</f>
        <v/>
      </c>
      <c r="I368" s="17">
        <f>IF(B368="","",IF(G368&lt;&gt;"",G368*H368,F368*H368))</f>
        <v/>
      </c>
      <c r="J368" s="24" t="n"/>
      <c r="K368" s="18">
        <f>IF(B368="","",IF(G368&gt;=2000,20,IF(G368&gt;=1000,10,0)))</f>
        <v/>
      </c>
      <c r="L368" s="27" t="n"/>
    </row>
    <row r="369" ht="18" customHeight="1">
      <c r="A369" s="19">
        <f>IF(B369="","",ROW()-4)</f>
        <v/>
      </c>
      <c r="B369" s="15" t="n"/>
      <c r="C369" s="20">
        <f>IF(B369="","",IFERROR(VLOOKUP(B369,'📦产品库'!$B$4:$D$9999,2,0),"⚠️未找到"))</f>
        <v/>
      </c>
      <c r="D369" s="21">
        <f>IF(B369="","",IFERROR(VLOOKUP(B369,'📦产品库'!$B$4:$E$9999,4,0),""))</f>
        <v/>
      </c>
      <c r="E369" s="21">
        <f>IF(B369="","",IFERROR(VLOOKUP(B369,'📦产品库'!$B$4:$F$9999,5,0),""))</f>
        <v/>
      </c>
      <c r="F369" s="22">
        <f>IF(B369="","",IFERROR(VLOOKUP(B369,'📦产品库'!$B$4:$G$9999,6,0),""))</f>
        <v/>
      </c>
      <c r="G369" s="16" t="n"/>
      <c r="H369" s="23">
        <f>IF(B369="","",1)</f>
        <v/>
      </c>
      <c r="I369" s="17">
        <f>IF(B369="","",IF(G369&lt;&gt;"",G369*H369,F369*H369))</f>
        <v/>
      </c>
      <c r="J369" s="24" t="n"/>
      <c r="K369" s="18">
        <f>IF(B369="","",IF(G369&gt;=2000,20,IF(G369&gt;=1000,10,0)))</f>
        <v/>
      </c>
      <c r="L369" s="25" t="n"/>
    </row>
    <row r="370" ht="18" customHeight="1">
      <c r="A370" s="26">
        <f>IF(B370="","",ROW()-4)</f>
        <v/>
      </c>
      <c r="B370" s="15" t="n"/>
      <c r="C370" s="20">
        <f>IF(B370="","",IFERROR(VLOOKUP(B370,'📦产品库'!$B$4:$D$9999,2,0),"⚠️未找到"))</f>
        <v/>
      </c>
      <c r="D370" s="21">
        <f>IF(B370="","",IFERROR(VLOOKUP(B370,'📦产品库'!$B$4:$E$9999,4,0),""))</f>
        <v/>
      </c>
      <c r="E370" s="21">
        <f>IF(B370="","",IFERROR(VLOOKUP(B370,'📦产品库'!$B$4:$F$9999,5,0),""))</f>
        <v/>
      </c>
      <c r="F370" s="22">
        <f>IF(B370="","",IFERROR(VLOOKUP(B370,'📦产品库'!$B$4:$G$9999,6,0),""))</f>
        <v/>
      </c>
      <c r="G370" s="16" t="n"/>
      <c r="H370" s="23">
        <f>IF(B370="","",1)</f>
        <v/>
      </c>
      <c r="I370" s="17">
        <f>IF(B370="","",IF(G370&lt;&gt;"",G370*H370,F370*H370))</f>
        <v/>
      </c>
      <c r="J370" s="24" t="n"/>
      <c r="K370" s="18">
        <f>IF(B370="","",IF(G370&gt;=2000,20,IF(G370&gt;=1000,10,0)))</f>
        <v/>
      </c>
      <c r="L370" s="27" t="n"/>
    </row>
    <row r="371" ht="18" customHeight="1">
      <c r="A371" s="19">
        <f>IF(B371="","",ROW()-4)</f>
        <v/>
      </c>
      <c r="B371" s="15" t="n"/>
      <c r="C371" s="20">
        <f>IF(B371="","",IFERROR(VLOOKUP(B371,'📦产品库'!$B$4:$D$9999,2,0),"⚠️未找到"))</f>
        <v/>
      </c>
      <c r="D371" s="21">
        <f>IF(B371="","",IFERROR(VLOOKUP(B371,'📦产品库'!$B$4:$E$9999,4,0),""))</f>
        <v/>
      </c>
      <c r="E371" s="21">
        <f>IF(B371="","",IFERROR(VLOOKUP(B371,'📦产品库'!$B$4:$F$9999,5,0),""))</f>
        <v/>
      </c>
      <c r="F371" s="22">
        <f>IF(B371="","",IFERROR(VLOOKUP(B371,'📦产品库'!$B$4:$G$9999,6,0),""))</f>
        <v/>
      </c>
      <c r="G371" s="16" t="n"/>
      <c r="H371" s="23">
        <f>IF(B371="","",1)</f>
        <v/>
      </c>
      <c r="I371" s="17">
        <f>IF(B371="","",IF(G371&lt;&gt;"",G371*H371,F371*H371))</f>
        <v/>
      </c>
      <c r="J371" s="24" t="n"/>
      <c r="K371" s="18">
        <f>IF(B371="","",IF(G371&gt;=2000,20,IF(G371&gt;=1000,10,0)))</f>
        <v/>
      </c>
      <c r="L371" s="25" t="n"/>
    </row>
    <row r="372" ht="18" customHeight="1">
      <c r="A372" s="26">
        <f>IF(B372="","",ROW()-4)</f>
        <v/>
      </c>
      <c r="B372" s="15" t="n"/>
      <c r="C372" s="20">
        <f>IF(B372="","",IFERROR(VLOOKUP(B372,'📦产品库'!$B$4:$D$9999,2,0),"⚠️未找到"))</f>
        <v/>
      </c>
      <c r="D372" s="21">
        <f>IF(B372="","",IFERROR(VLOOKUP(B372,'📦产品库'!$B$4:$E$9999,4,0),""))</f>
        <v/>
      </c>
      <c r="E372" s="21">
        <f>IF(B372="","",IFERROR(VLOOKUP(B372,'📦产品库'!$B$4:$F$9999,5,0),""))</f>
        <v/>
      </c>
      <c r="F372" s="22">
        <f>IF(B372="","",IFERROR(VLOOKUP(B372,'📦产品库'!$B$4:$G$9999,6,0),""))</f>
        <v/>
      </c>
      <c r="G372" s="16" t="n"/>
      <c r="H372" s="23">
        <f>IF(B372="","",1)</f>
        <v/>
      </c>
      <c r="I372" s="17">
        <f>IF(B372="","",IF(G372&lt;&gt;"",G372*H372,F372*H372))</f>
        <v/>
      </c>
      <c r="J372" s="24" t="n"/>
      <c r="K372" s="18">
        <f>IF(B372="","",IF(G372&gt;=2000,20,IF(G372&gt;=1000,10,0)))</f>
        <v/>
      </c>
      <c r="L372" s="27" t="n"/>
    </row>
    <row r="373" ht="18" customHeight="1">
      <c r="A373" s="19">
        <f>IF(B373="","",ROW()-4)</f>
        <v/>
      </c>
      <c r="B373" s="15" t="n"/>
      <c r="C373" s="20">
        <f>IF(B373="","",IFERROR(VLOOKUP(B373,'📦产品库'!$B$4:$D$9999,2,0),"⚠️未找到"))</f>
        <v/>
      </c>
      <c r="D373" s="21">
        <f>IF(B373="","",IFERROR(VLOOKUP(B373,'📦产品库'!$B$4:$E$9999,4,0),""))</f>
        <v/>
      </c>
      <c r="E373" s="21">
        <f>IF(B373="","",IFERROR(VLOOKUP(B373,'📦产品库'!$B$4:$F$9999,5,0),""))</f>
        <v/>
      </c>
      <c r="F373" s="22">
        <f>IF(B373="","",IFERROR(VLOOKUP(B373,'📦产品库'!$B$4:$G$9999,6,0),""))</f>
        <v/>
      </c>
      <c r="G373" s="16" t="n"/>
      <c r="H373" s="23">
        <f>IF(B373="","",1)</f>
        <v/>
      </c>
      <c r="I373" s="17">
        <f>IF(B373="","",IF(G373&lt;&gt;"",G373*H373,F373*H373))</f>
        <v/>
      </c>
      <c r="J373" s="24" t="n"/>
      <c r="K373" s="18">
        <f>IF(B373="","",IF(G373&gt;=2000,20,IF(G373&gt;=1000,10,0)))</f>
        <v/>
      </c>
      <c r="L373" s="25" t="n"/>
    </row>
    <row r="374" ht="18" customHeight="1">
      <c r="A374" s="26">
        <f>IF(B374="","",ROW()-4)</f>
        <v/>
      </c>
      <c r="B374" s="15" t="n"/>
      <c r="C374" s="20">
        <f>IF(B374="","",IFERROR(VLOOKUP(B374,'📦产品库'!$B$4:$D$9999,2,0),"⚠️未找到"))</f>
        <v/>
      </c>
      <c r="D374" s="21">
        <f>IF(B374="","",IFERROR(VLOOKUP(B374,'📦产品库'!$B$4:$E$9999,4,0),""))</f>
        <v/>
      </c>
      <c r="E374" s="21">
        <f>IF(B374="","",IFERROR(VLOOKUP(B374,'📦产品库'!$B$4:$F$9999,5,0),""))</f>
        <v/>
      </c>
      <c r="F374" s="22">
        <f>IF(B374="","",IFERROR(VLOOKUP(B374,'📦产品库'!$B$4:$G$9999,6,0),""))</f>
        <v/>
      </c>
      <c r="G374" s="16" t="n"/>
      <c r="H374" s="23">
        <f>IF(B374="","",1)</f>
        <v/>
      </c>
      <c r="I374" s="17">
        <f>IF(B374="","",IF(G374&lt;&gt;"",G374*H374,F374*H374))</f>
        <v/>
      </c>
      <c r="J374" s="24" t="n"/>
      <c r="K374" s="18">
        <f>IF(B374="","",IF(G374&gt;=2000,20,IF(G374&gt;=1000,10,0)))</f>
        <v/>
      </c>
      <c r="L374" s="27" t="n"/>
    </row>
    <row r="375" ht="18" customHeight="1">
      <c r="A375" s="19">
        <f>IF(B375="","",ROW()-4)</f>
        <v/>
      </c>
      <c r="B375" s="15" t="n"/>
      <c r="C375" s="20">
        <f>IF(B375="","",IFERROR(VLOOKUP(B375,'📦产品库'!$B$4:$D$9999,2,0),"⚠️未找到"))</f>
        <v/>
      </c>
      <c r="D375" s="21">
        <f>IF(B375="","",IFERROR(VLOOKUP(B375,'📦产品库'!$B$4:$E$9999,4,0),""))</f>
        <v/>
      </c>
      <c r="E375" s="21">
        <f>IF(B375="","",IFERROR(VLOOKUP(B375,'📦产品库'!$B$4:$F$9999,5,0),""))</f>
        <v/>
      </c>
      <c r="F375" s="22">
        <f>IF(B375="","",IFERROR(VLOOKUP(B375,'📦产品库'!$B$4:$G$9999,6,0),""))</f>
        <v/>
      </c>
      <c r="G375" s="16" t="n"/>
      <c r="H375" s="23">
        <f>IF(B375="","",1)</f>
        <v/>
      </c>
      <c r="I375" s="17">
        <f>IF(B375="","",IF(G375&lt;&gt;"",G375*H375,F375*H375))</f>
        <v/>
      </c>
      <c r="J375" s="24" t="n"/>
      <c r="K375" s="18">
        <f>IF(B375="","",IF(G375&gt;=2000,20,IF(G375&gt;=1000,10,0)))</f>
        <v/>
      </c>
      <c r="L375" s="25" t="n"/>
    </row>
    <row r="376" ht="18" customHeight="1">
      <c r="A376" s="26">
        <f>IF(B376="","",ROW()-4)</f>
        <v/>
      </c>
      <c r="B376" s="15" t="n"/>
      <c r="C376" s="20">
        <f>IF(B376="","",IFERROR(VLOOKUP(B376,'📦产品库'!$B$4:$D$9999,2,0),"⚠️未找到"))</f>
        <v/>
      </c>
      <c r="D376" s="21">
        <f>IF(B376="","",IFERROR(VLOOKUP(B376,'📦产品库'!$B$4:$E$9999,4,0),""))</f>
        <v/>
      </c>
      <c r="E376" s="21">
        <f>IF(B376="","",IFERROR(VLOOKUP(B376,'📦产品库'!$B$4:$F$9999,5,0),""))</f>
        <v/>
      </c>
      <c r="F376" s="22">
        <f>IF(B376="","",IFERROR(VLOOKUP(B376,'📦产品库'!$B$4:$G$9999,6,0),""))</f>
        <v/>
      </c>
      <c r="G376" s="16" t="n"/>
      <c r="H376" s="23">
        <f>IF(B376="","",1)</f>
        <v/>
      </c>
      <c r="I376" s="17">
        <f>IF(B376="","",IF(G376&lt;&gt;"",G376*H376,F376*H376))</f>
        <v/>
      </c>
      <c r="J376" s="24" t="n"/>
      <c r="K376" s="18">
        <f>IF(B376="","",IF(G376&gt;=2000,20,IF(G376&gt;=1000,10,0)))</f>
        <v/>
      </c>
      <c r="L376" s="27" t="n"/>
    </row>
    <row r="377" ht="18" customHeight="1">
      <c r="A377" s="19">
        <f>IF(B377="","",ROW()-4)</f>
        <v/>
      </c>
      <c r="B377" s="15" t="n"/>
      <c r="C377" s="20">
        <f>IF(B377="","",IFERROR(VLOOKUP(B377,'📦产品库'!$B$4:$D$9999,2,0),"⚠️未找到"))</f>
        <v/>
      </c>
      <c r="D377" s="21">
        <f>IF(B377="","",IFERROR(VLOOKUP(B377,'📦产品库'!$B$4:$E$9999,4,0),""))</f>
        <v/>
      </c>
      <c r="E377" s="21">
        <f>IF(B377="","",IFERROR(VLOOKUP(B377,'📦产品库'!$B$4:$F$9999,5,0),""))</f>
        <v/>
      </c>
      <c r="F377" s="22">
        <f>IF(B377="","",IFERROR(VLOOKUP(B377,'📦产品库'!$B$4:$G$9999,6,0),""))</f>
        <v/>
      </c>
      <c r="G377" s="16" t="n"/>
      <c r="H377" s="23">
        <f>IF(B377="","",1)</f>
        <v/>
      </c>
      <c r="I377" s="17">
        <f>IF(B377="","",IF(G377&lt;&gt;"",G377*H377,F377*H377))</f>
        <v/>
      </c>
      <c r="J377" s="24" t="n"/>
      <c r="K377" s="18">
        <f>IF(B377="","",IF(G377&gt;=2000,20,IF(G377&gt;=1000,10,0)))</f>
        <v/>
      </c>
      <c r="L377" s="25" t="n"/>
    </row>
    <row r="378" ht="18" customHeight="1">
      <c r="A378" s="26">
        <f>IF(B378="","",ROW()-4)</f>
        <v/>
      </c>
      <c r="B378" s="15" t="n"/>
      <c r="C378" s="20">
        <f>IF(B378="","",IFERROR(VLOOKUP(B378,'📦产品库'!$B$4:$D$9999,2,0),"⚠️未找到"))</f>
        <v/>
      </c>
      <c r="D378" s="21">
        <f>IF(B378="","",IFERROR(VLOOKUP(B378,'📦产品库'!$B$4:$E$9999,4,0),""))</f>
        <v/>
      </c>
      <c r="E378" s="21">
        <f>IF(B378="","",IFERROR(VLOOKUP(B378,'📦产品库'!$B$4:$F$9999,5,0),""))</f>
        <v/>
      </c>
      <c r="F378" s="22">
        <f>IF(B378="","",IFERROR(VLOOKUP(B378,'📦产品库'!$B$4:$G$9999,6,0),""))</f>
        <v/>
      </c>
      <c r="G378" s="16" t="n"/>
      <c r="H378" s="23">
        <f>IF(B378="","",1)</f>
        <v/>
      </c>
      <c r="I378" s="17">
        <f>IF(B378="","",IF(G378&lt;&gt;"",G378*H378,F378*H378))</f>
        <v/>
      </c>
      <c r="J378" s="24" t="n"/>
      <c r="K378" s="18">
        <f>IF(B378="","",IF(G378&gt;=2000,20,IF(G378&gt;=1000,10,0)))</f>
        <v/>
      </c>
      <c r="L378" s="27" t="n"/>
    </row>
    <row r="379" ht="18" customHeight="1">
      <c r="A379" s="19">
        <f>IF(B379="","",ROW()-4)</f>
        <v/>
      </c>
      <c r="B379" s="15" t="n"/>
      <c r="C379" s="20">
        <f>IF(B379="","",IFERROR(VLOOKUP(B379,'📦产品库'!$B$4:$D$9999,2,0),"⚠️未找到"))</f>
        <v/>
      </c>
      <c r="D379" s="21">
        <f>IF(B379="","",IFERROR(VLOOKUP(B379,'📦产品库'!$B$4:$E$9999,4,0),""))</f>
        <v/>
      </c>
      <c r="E379" s="21">
        <f>IF(B379="","",IFERROR(VLOOKUP(B379,'📦产品库'!$B$4:$F$9999,5,0),""))</f>
        <v/>
      </c>
      <c r="F379" s="22">
        <f>IF(B379="","",IFERROR(VLOOKUP(B379,'📦产品库'!$B$4:$G$9999,6,0),""))</f>
        <v/>
      </c>
      <c r="G379" s="16" t="n"/>
      <c r="H379" s="23">
        <f>IF(B379="","",1)</f>
        <v/>
      </c>
      <c r="I379" s="17">
        <f>IF(B379="","",IF(G379&lt;&gt;"",G379*H379,F379*H379))</f>
        <v/>
      </c>
      <c r="J379" s="24" t="n"/>
      <c r="K379" s="18">
        <f>IF(B379="","",IF(G379&gt;=2000,20,IF(G379&gt;=1000,10,0)))</f>
        <v/>
      </c>
      <c r="L379" s="25" t="n"/>
    </row>
    <row r="380" ht="18" customHeight="1">
      <c r="A380" s="26">
        <f>IF(B380="","",ROW()-4)</f>
        <v/>
      </c>
      <c r="B380" s="15" t="n"/>
      <c r="C380" s="20">
        <f>IF(B380="","",IFERROR(VLOOKUP(B380,'📦产品库'!$B$4:$D$9999,2,0),"⚠️未找到"))</f>
        <v/>
      </c>
      <c r="D380" s="21">
        <f>IF(B380="","",IFERROR(VLOOKUP(B380,'📦产品库'!$B$4:$E$9999,4,0),""))</f>
        <v/>
      </c>
      <c r="E380" s="21">
        <f>IF(B380="","",IFERROR(VLOOKUP(B380,'📦产品库'!$B$4:$F$9999,5,0),""))</f>
        <v/>
      </c>
      <c r="F380" s="22">
        <f>IF(B380="","",IFERROR(VLOOKUP(B380,'📦产品库'!$B$4:$G$9999,6,0),""))</f>
        <v/>
      </c>
      <c r="G380" s="16" t="n"/>
      <c r="H380" s="23">
        <f>IF(B380="","",1)</f>
        <v/>
      </c>
      <c r="I380" s="17">
        <f>IF(B380="","",IF(G380&lt;&gt;"",G380*H380,F380*H380))</f>
        <v/>
      </c>
      <c r="J380" s="24" t="n"/>
      <c r="K380" s="18">
        <f>IF(B380="","",IF(G380&gt;=2000,20,IF(G380&gt;=1000,10,0)))</f>
        <v/>
      </c>
      <c r="L380" s="27" t="n"/>
    </row>
    <row r="381" ht="18" customHeight="1">
      <c r="A381" s="19">
        <f>IF(B381="","",ROW()-4)</f>
        <v/>
      </c>
      <c r="B381" s="15" t="n"/>
      <c r="C381" s="20">
        <f>IF(B381="","",IFERROR(VLOOKUP(B381,'📦产品库'!$B$4:$D$9999,2,0),"⚠️未找到"))</f>
        <v/>
      </c>
      <c r="D381" s="21">
        <f>IF(B381="","",IFERROR(VLOOKUP(B381,'📦产品库'!$B$4:$E$9999,4,0),""))</f>
        <v/>
      </c>
      <c r="E381" s="21">
        <f>IF(B381="","",IFERROR(VLOOKUP(B381,'📦产品库'!$B$4:$F$9999,5,0),""))</f>
        <v/>
      </c>
      <c r="F381" s="22">
        <f>IF(B381="","",IFERROR(VLOOKUP(B381,'📦产品库'!$B$4:$G$9999,6,0),""))</f>
        <v/>
      </c>
      <c r="G381" s="16" t="n"/>
      <c r="H381" s="23">
        <f>IF(B381="","",1)</f>
        <v/>
      </c>
      <c r="I381" s="17">
        <f>IF(B381="","",IF(G381&lt;&gt;"",G381*H381,F381*H381))</f>
        <v/>
      </c>
      <c r="J381" s="24" t="n"/>
      <c r="K381" s="18">
        <f>IF(B381="","",IF(G381&gt;=2000,20,IF(G381&gt;=1000,10,0)))</f>
        <v/>
      </c>
      <c r="L381" s="25" t="n"/>
    </row>
    <row r="382" ht="18" customHeight="1">
      <c r="A382" s="26">
        <f>IF(B382="","",ROW()-4)</f>
        <v/>
      </c>
      <c r="B382" s="15" t="n"/>
      <c r="C382" s="20">
        <f>IF(B382="","",IFERROR(VLOOKUP(B382,'📦产品库'!$B$4:$D$9999,2,0),"⚠️未找到"))</f>
        <v/>
      </c>
      <c r="D382" s="21">
        <f>IF(B382="","",IFERROR(VLOOKUP(B382,'📦产品库'!$B$4:$E$9999,4,0),""))</f>
        <v/>
      </c>
      <c r="E382" s="21">
        <f>IF(B382="","",IFERROR(VLOOKUP(B382,'📦产品库'!$B$4:$F$9999,5,0),""))</f>
        <v/>
      </c>
      <c r="F382" s="22">
        <f>IF(B382="","",IFERROR(VLOOKUP(B382,'📦产品库'!$B$4:$G$9999,6,0),""))</f>
        <v/>
      </c>
      <c r="G382" s="16" t="n"/>
      <c r="H382" s="23">
        <f>IF(B382="","",1)</f>
        <v/>
      </c>
      <c r="I382" s="17">
        <f>IF(B382="","",IF(G382&lt;&gt;"",G382*H382,F382*H382))</f>
        <v/>
      </c>
      <c r="J382" s="24" t="n"/>
      <c r="K382" s="18">
        <f>IF(B382="","",IF(G382&gt;=2000,20,IF(G382&gt;=1000,10,0)))</f>
        <v/>
      </c>
      <c r="L382" s="27" t="n"/>
    </row>
    <row r="383" ht="18" customHeight="1">
      <c r="A383" s="19">
        <f>IF(B383="","",ROW()-4)</f>
        <v/>
      </c>
      <c r="B383" s="15" t="n"/>
      <c r="C383" s="20">
        <f>IF(B383="","",IFERROR(VLOOKUP(B383,'📦产品库'!$B$4:$D$9999,2,0),"⚠️未找到"))</f>
        <v/>
      </c>
      <c r="D383" s="21">
        <f>IF(B383="","",IFERROR(VLOOKUP(B383,'📦产品库'!$B$4:$E$9999,4,0),""))</f>
        <v/>
      </c>
      <c r="E383" s="21">
        <f>IF(B383="","",IFERROR(VLOOKUP(B383,'📦产品库'!$B$4:$F$9999,5,0),""))</f>
        <v/>
      </c>
      <c r="F383" s="22">
        <f>IF(B383="","",IFERROR(VLOOKUP(B383,'📦产品库'!$B$4:$G$9999,6,0),""))</f>
        <v/>
      </c>
      <c r="G383" s="16" t="n"/>
      <c r="H383" s="23">
        <f>IF(B383="","",1)</f>
        <v/>
      </c>
      <c r="I383" s="17">
        <f>IF(B383="","",IF(G383&lt;&gt;"",G383*H383,F383*H383))</f>
        <v/>
      </c>
      <c r="J383" s="24" t="n"/>
      <c r="K383" s="18">
        <f>IF(B383="","",IF(G383&gt;=2000,20,IF(G383&gt;=1000,10,0)))</f>
        <v/>
      </c>
      <c r="L383" s="25" t="n"/>
    </row>
    <row r="384" ht="18" customHeight="1">
      <c r="A384" s="26">
        <f>IF(B384="","",ROW()-4)</f>
        <v/>
      </c>
      <c r="B384" s="15" t="n"/>
      <c r="C384" s="20">
        <f>IF(B384="","",IFERROR(VLOOKUP(B384,'📦产品库'!$B$4:$D$9999,2,0),"⚠️未找到"))</f>
        <v/>
      </c>
      <c r="D384" s="21">
        <f>IF(B384="","",IFERROR(VLOOKUP(B384,'📦产品库'!$B$4:$E$9999,4,0),""))</f>
        <v/>
      </c>
      <c r="E384" s="21">
        <f>IF(B384="","",IFERROR(VLOOKUP(B384,'📦产品库'!$B$4:$F$9999,5,0),""))</f>
        <v/>
      </c>
      <c r="F384" s="22">
        <f>IF(B384="","",IFERROR(VLOOKUP(B384,'📦产品库'!$B$4:$G$9999,6,0),""))</f>
        <v/>
      </c>
      <c r="G384" s="16" t="n"/>
      <c r="H384" s="23">
        <f>IF(B384="","",1)</f>
        <v/>
      </c>
      <c r="I384" s="17">
        <f>IF(B384="","",IF(G384&lt;&gt;"",G384*H384,F384*H384))</f>
        <v/>
      </c>
      <c r="J384" s="24" t="n"/>
      <c r="K384" s="18">
        <f>IF(B384="","",IF(G384&gt;=2000,20,IF(G384&gt;=1000,10,0)))</f>
        <v/>
      </c>
      <c r="L384" s="27" t="n"/>
    </row>
    <row r="385" ht="18" customHeight="1">
      <c r="A385" s="19">
        <f>IF(B385="","",ROW()-4)</f>
        <v/>
      </c>
      <c r="B385" s="15" t="n"/>
      <c r="C385" s="20">
        <f>IF(B385="","",IFERROR(VLOOKUP(B385,'📦产品库'!$B$4:$D$9999,2,0),"⚠️未找到"))</f>
        <v/>
      </c>
      <c r="D385" s="21">
        <f>IF(B385="","",IFERROR(VLOOKUP(B385,'📦产品库'!$B$4:$E$9999,4,0),""))</f>
        <v/>
      </c>
      <c r="E385" s="21">
        <f>IF(B385="","",IFERROR(VLOOKUP(B385,'📦产品库'!$B$4:$F$9999,5,0),""))</f>
        <v/>
      </c>
      <c r="F385" s="22">
        <f>IF(B385="","",IFERROR(VLOOKUP(B385,'📦产品库'!$B$4:$G$9999,6,0),""))</f>
        <v/>
      </c>
      <c r="G385" s="16" t="n"/>
      <c r="H385" s="23">
        <f>IF(B385="","",1)</f>
        <v/>
      </c>
      <c r="I385" s="17">
        <f>IF(B385="","",IF(G385&lt;&gt;"",G385*H385,F385*H385))</f>
        <v/>
      </c>
      <c r="J385" s="24" t="n"/>
      <c r="K385" s="18">
        <f>IF(B385="","",IF(G385&gt;=2000,20,IF(G385&gt;=1000,10,0)))</f>
        <v/>
      </c>
      <c r="L385" s="25" t="n"/>
    </row>
    <row r="386" ht="18" customHeight="1">
      <c r="A386" s="26">
        <f>IF(B386="","",ROW()-4)</f>
        <v/>
      </c>
      <c r="B386" s="15" t="n"/>
      <c r="C386" s="20">
        <f>IF(B386="","",IFERROR(VLOOKUP(B386,'📦产品库'!$B$4:$D$9999,2,0),"⚠️未找到"))</f>
        <v/>
      </c>
      <c r="D386" s="21">
        <f>IF(B386="","",IFERROR(VLOOKUP(B386,'📦产品库'!$B$4:$E$9999,4,0),""))</f>
        <v/>
      </c>
      <c r="E386" s="21">
        <f>IF(B386="","",IFERROR(VLOOKUP(B386,'📦产品库'!$B$4:$F$9999,5,0),""))</f>
        <v/>
      </c>
      <c r="F386" s="22">
        <f>IF(B386="","",IFERROR(VLOOKUP(B386,'📦产品库'!$B$4:$G$9999,6,0),""))</f>
        <v/>
      </c>
      <c r="G386" s="16" t="n"/>
      <c r="H386" s="23">
        <f>IF(B386="","",1)</f>
        <v/>
      </c>
      <c r="I386" s="17">
        <f>IF(B386="","",IF(G386&lt;&gt;"",G386*H386,F386*H386))</f>
        <v/>
      </c>
      <c r="J386" s="24" t="n"/>
      <c r="K386" s="18">
        <f>IF(B386="","",IF(G386&gt;=2000,20,IF(G386&gt;=1000,10,0)))</f>
        <v/>
      </c>
      <c r="L386" s="27" t="n"/>
    </row>
    <row r="387" ht="18" customHeight="1">
      <c r="A387" s="19">
        <f>IF(B387="","",ROW()-4)</f>
        <v/>
      </c>
      <c r="B387" s="15" t="n"/>
      <c r="C387" s="20">
        <f>IF(B387="","",IFERROR(VLOOKUP(B387,'📦产品库'!$B$4:$D$9999,2,0),"⚠️未找到"))</f>
        <v/>
      </c>
      <c r="D387" s="21">
        <f>IF(B387="","",IFERROR(VLOOKUP(B387,'📦产品库'!$B$4:$E$9999,4,0),""))</f>
        <v/>
      </c>
      <c r="E387" s="21">
        <f>IF(B387="","",IFERROR(VLOOKUP(B387,'📦产品库'!$B$4:$F$9999,5,0),""))</f>
        <v/>
      </c>
      <c r="F387" s="22">
        <f>IF(B387="","",IFERROR(VLOOKUP(B387,'📦产品库'!$B$4:$G$9999,6,0),""))</f>
        <v/>
      </c>
      <c r="G387" s="16" t="n"/>
      <c r="H387" s="23">
        <f>IF(B387="","",1)</f>
        <v/>
      </c>
      <c r="I387" s="17">
        <f>IF(B387="","",IF(G387&lt;&gt;"",G387*H387,F387*H387))</f>
        <v/>
      </c>
      <c r="J387" s="24" t="n"/>
      <c r="K387" s="18">
        <f>IF(B387="","",IF(G387&gt;=2000,20,IF(G387&gt;=1000,10,0)))</f>
        <v/>
      </c>
      <c r="L387" s="25" t="n"/>
    </row>
    <row r="388" ht="18" customHeight="1">
      <c r="A388" s="26">
        <f>IF(B388="","",ROW()-4)</f>
        <v/>
      </c>
      <c r="B388" s="15" t="n"/>
      <c r="C388" s="20">
        <f>IF(B388="","",IFERROR(VLOOKUP(B388,'📦产品库'!$B$4:$D$9999,2,0),"⚠️未找到"))</f>
        <v/>
      </c>
      <c r="D388" s="21">
        <f>IF(B388="","",IFERROR(VLOOKUP(B388,'📦产品库'!$B$4:$E$9999,4,0),""))</f>
        <v/>
      </c>
      <c r="E388" s="21">
        <f>IF(B388="","",IFERROR(VLOOKUP(B388,'📦产品库'!$B$4:$F$9999,5,0),""))</f>
        <v/>
      </c>
      <c r="F388" s="22">
        <f>IF(B388="","",IFERROR(VLOOKUP(B388,'📦产品库'!$B$4:$G$9999,6,0),""))</f>
        <v/>
      </c>
      <c r="G388" s="16" t="n"/>
      <c r="H388" s="23">
        <f>IF(B388="","",1)</f>
        <v/>
      </c>
      <c r="I388" s="17">
        <f>IF(B388="","",IF(G388&lt;&gt;"",G388*H388,F388*H388))</f>
        <v/>
      </c>
      <c r="J388" s="24" t="n"/>
      <c r="K388" s="18">
        <f>IF(B388="","",IF(G388&gt;=2000,20,IF(G388&gt;=1000,10,0)))</f>
        <v/>
      </c>
      <c r="L388" s="27" t="n"/>
    </row>
    <row r="389" ht="18" customHeight="1">
      <c r="A389" s="19">
        <f>IF(B389="","",ROW()-4)</f>
        <v/>
      </c>
      <c r="B389" s="15" t="n"/>
      <c r="C389" s="20">
        <f>IF(B389="","",IFERROR(VLOOKUP(B389,'📦产品库'!$B$4:$D$9999,2,0),"⚠️未找到"))</f>
        <v/>
      </c>
      <c r="D389" s="21">
        <f>IF(B389="","",IFERROR(VLOOKUP(B389,'📦产品库'!$B$4:$E$9999,4,0),""))</f>
        <v/>
      </c>
      <c r="E389" s="21">
        <f>IF(B389="","",IFERROR(VLOOKUP(B389,'📦产品库'!$B$4:$F$9999,5,0),""))</f>
        <v/>
      </c>
      <c r="F389" s="22">
        <f>IF(B389="","",IFERROR(VLOOKUP(B389,'📦产品库'!$B$4:$G$9999,6,0),""))</f>
        <v/>
      </c>
      <c r="G389" s="16" t="n"/>
      <c r="H389" s="23">
        <f>IF(B389="","",1)</f>
        <v/>
      </c>
      <c r="I389" s="17">
        <f>IF(B389="","",IF(G389&lt;&gt;"",G389*H389,F389*H389))</f>
        <v/>
      </c>
      <c r="J389" s="24" t="n"/>
      <c r="K389" s="18">
        <f>IF(B389="","",IF(G389&gt;=2000,20,IF(G389&gt;=1000,10,0)))</f>
        <v/>
      </c>
      <c r="L389" s="25" t="n"/>
    </row>
    <row r="390" ht="18" customHeight="1">
      <c r="A390" s="26">
        <f>IF(B390="","",ROW()-4)</f>
        <v/>
      </c>
      <c r="B390" s="15" t="n"/>
      <c r="C390" s="20">
        <f>IF(B390="","",IFERROR(VLOOKUP(B390,'📦产品库'!$B$4:$D$9999,2,0),"⚠️未找到"))</f>
        <v/>
      </c>
      <c r="D390" s="21">
        <f>IF(B390="","",IFERROR(VLOOKUP(B390,'📦产品库'!$B$4:$E$9999,4,0),""))</f>
        <v/>
      </c>
      <c r="E390" s="21">
        <f>IF(B390="","",IFERROR(VLOOKUP(B390,'📦产品库'!$B$4:$F$9999,5,0),""))</f>
        <v/>
      </c>
      <c r="F390" s="22">
        <f>IF(B390="","",IFERROR(VLOOKUP(B390,'📦产品库'!$B$4:$G$9999,6,0),""))</f>
        <v/>
      </c>
      <c r="G390" s="16" t="n"/>
      <c r="H390" s="23">
        <f>IF(B390="","",1)</f>
        <v/>
      </c>
      <c r="I390" s="17">
        <f>IF(B390="","",IF(G390&lt;&gt;"",G390*H390,F390*H390))</f>
        <v/>
      </c>
      <c r="J390" s="24" t="n"/>
      <c r="K390" s="18">
        <f>IF(B390="","",IF(G390&gt;=2000,20,IF(G390&gt;=1000,10,0)))</f>
        <v/>
      </c>
      <c r="L390" s="27" t="n"/>
    </row>
    <row r="391" ht="18" customHeight="1">
      <c r="A391" s="19">
        <f>IF(B391="","",ROW()-4)</f>
        <v/>
      </c>
      <c r="B391" s="15" t="n"/>
      <c r="C391" s="20">
        <f>IF(B391="","",IFERROR(VLOOKUP(B391,'📦产品库'!$B$4:$D$9999,2,0),"⚠️未找到"))</f>
        <v/>
      </c>
      <c r="D391" s="21">
        <f>IF(B391="","",IFERROR(VLOOKUP(B391,'📦产品库'!$B$4:$E$9999,4,0),""))</f>
        <v/>
      </c>
      <c r="E391" s="21">
        <f>IF(B391="","",IFERROR(VLOOKUP(B391,'📦产品库'!$B$4:$F$9999,5,0),""))</f>
        <v/>
      </c>
      <c r="F391" s="22">
        <f>IF(B391="","",IFERROR(VLOOKUP(B391,'📦产品库'!$B$4:$G$9999,6,0),""))</f>
        <v/>
      </c>
      <c r="G391" s="16" t="n"/>
      <c r="H391" s="23">
        <f>IF(B391="","",1)</f>
        <v/>
      </c>
      <c r="I391" s="17">
        <f>IF(B391="","",IF(G391&lt;&gt;"",G391*H391,F391*H391))</f>
        <v/>
      </c>
      <c r="J391" s="24" t="n"/>
      <c r="K391" s="18">
        <f>IF(B391="","",IF(G391&gt;=2000,20,IF(G391&gt;=1000,10,0)))</f>
        <v/>
      </c>
      <c r="L391" s="25" t="n"/>
    </row>
    <row r="392" ht="18" customHeight="1">
      <c r="A392" s="26">
        <f>IF(B392="","",ROW()-4)</f>
        <v/>
      </c>
      <c r="B392" s="15" t="n"/>
      <c r="C392" s="20">
        <f>IF(B392="","",IFERROR(VLOOKUP(B392,'📦产品库'!$B$4:$D$9999,2,0),"⚠️未找到"))</f>
        <v/>
      </c>
      <c r="D392" s="21">
        <f>IF(B392="","",IFERROR(VLOOKUP(B392,'📦产品库'!$B$4:$E$9999,4,0),""))</f>
        <v/>
      </c>
      <c r="E392" s="21">
        <f>IF(B392="","",IFERROR(VLOOKUP(B392,'📦产品库'!$B$4:$F$9999,5,0),""))</f>
        <v/>
      </c>
      <c r="F392" s="22">
        <f>IF(B392="","",IFERROR(VLOOKUP(B392,'📦产品库'!$B$4:$G$9999,6,0),""))</f>
        <v/>
      </c>
      <c r="G392" s="16" t="n"/>
      <c r="H392" s="23">
        <f>IF(B392="","",1)</f>
        <v/>
      </c>
      <c r="I392" s="17">
        <f>IF(B392="","",IF(G392&lt;&gt;"",G392*H392,F392*H392))</f>
        <v/>
      </c>
      <c r="J392" s="24" t="n"/>
      <c r="K392" s="18">
        <f>IF(B392="","",IF(G392&gt;=2000,20,IF(G392&gt;=1000,10,0)))</f>
        <v/>
      </c>
      <c r="L392" s="27" t="n"/>
    </row>
    <row r="393" ht="18" customHeight="1">
      <c r="A393" s="19">
        <f>IF(B393="","",ROW()-4)</f>
        <v/>
      </c>
      <c r="B393" s="15" t="n"/>
      <c r="C393" s="20">
        <f>IF(B393="","",IFERROR(VLOOKUP(B393,'📦产品库'!$B$4:$D$9999,2,0),"⚠️未找到"))</f>
        <v/>
      </c>
      <c r="D393" s="21">
        <f>IF(B393="","",IFERROR(VLOOKUP(B393,'📦产品库'!$B$4:$E$9999,4,0),""))</f>
        <v/>
      </c>
      <c r="E393" s="21">
        <f>IF(B393="","",IFERROR(VLOOKUP(B393,'📦产品库'!$B$4:$F$9999,5,0),""))</f>
        <v/>
      </c>
      <c r="F393" s="22">
        <f>IF(B393="","",IFERROR(VLOOKUP(B393,'📦产品库'!$B$4:$G$9999,6,0),""))</f>
        <v/>
      </c>
      <c r="G393" s="16" t="n"/>
      <c r="H393" s="23">
        <f>IF(B393="","",1)</f>
        <v/>
      </c>
      <c r="I393" s="17">
        <f>IF(B393="","",IF(G393&lt;&gt;"",G393*H393,F393*H393))</f>
        <v/>
      </c>
      <c r="J393" s="24" t="n"/>
      <c r="K393" s="18">
        <f>IF(B393="","",IF(G393&gt;=2000,20,IF(G393&gt;=1000,10,0)))</f>
        <v/>
      </c>
      <c r="L393" s="25" t="n"/>
    </row>
    <row r="394" ht="18" customHeight="1">
      <c r="A394" s="26">
        <f>IF(B394="","",ROW()-4)</f>
        <v/>
      </c>
      <c r="B394" s="15" t="n"/>
      <c r="C394" s="20">
        <f>IF(B394="","",IFERROR(VLOOKUP(B394,'📦产品库'!$B$4:$D$9999,2,0),"⚠️未找到"))</f>
        <v/>
      </c>
      <c r="D394" s="21">
        <f>IF(B394="","",IFERROR(VLOOKUP(B394,'📦产品库'!$B$4:$E$9999,4,0),""))</f>
        <v/>
      </c>
      <c r="E394" s="21">
        <f>IF(B394="","",IFERROR(VLOOKUP(B394,'📦产品库'!$B$4:$F$9999,5,0),""))</f>
        <v/>
      </c>
      <c r="F394" s="22">
        <f>IF(B394="","",IFERROR(VLOOKUP(B394,'📦产品库'!$B$4:$G$9999,6,0),""))</f>
        <v/>
      </c>
      <c r="G394" s="16" t="n"/>
      <c r="H394" s="23">
        <f>IF(B394="","",1)</f>
        <v/>
      </c>
      <c r="I394" s="17">
        <f>IF(B394="","",IF(G394&lt;&gt;"",G394*H394,F394*H394))</f>
        <v/>
      </c>
      <c r="J394" s="24" t="n"/>
      <c r="K394" s="18">
        <f>IF(B394="","",IF(G394&gt;=2000,20,IF(G394&gt;=1000,10,0)))</f>
        <v/>
      </c>
      <c r="L394" s="27" t="n"/>
    </row>
    <row r="395" ht="18" customHeight="1">
      <c r="A395" s="19">
        <f>IF(B395="","",ROW()-4)</f>
        <v/>
      </c>
      <c r="B395" s="15" t="n"/>
      <c r="C395" s="20">
        <f>IF(B395="","",IFERROR(VLOOKUP(B395,'📦产品库'!$B$4:$D$9999,2,0),"⚠️未找到"))</f>
        <v/>
      </c>
      <c r="D395" s="21">
        <f>IF(B395="","",IFERROR(VLOOKUP(B395,'📦产品库'!$B$4:$E$9999,4,0),""))</f>
        <v/>
      </c>
      <c r="E395" s="21">
        <f>IF(B395="","",IFERROR(VLOOKUP(B395,'📦产品库'!$B$4:$F$9999,5,0),""))</f>
        <v/>
      </c>
      <c r="F395" s="22">
        <f>IF(B395="","",IFERROR(VLOOKUP(B395,'📦产品库'!$B$4:$G$9999,6,0),""))</f>
        <v/>
      </c>
      <c r="G395" s="16" t="n"/>
      <c r="H395" s="23">
        <f>IF(B395="","",1)</f>
        <v/>
      </c>
      <c r="I395" s="17">
        <f>IF(B395="","",IF(G395&lt;&gt;"",G395*H395,F395*H395))</f>
        <v/>
      </c>
      <c r="J395" s="24" t="n"/>
      <c r="K395" s="18">
        <f>IF(B395="","",IF(G395&gt;=2000,20,IF(G395&gt;=1000,10,0)))</f>
        <v/>
      </c>
      <c r="L395" s="25" t="n"/>
    </row>
    <row r="396" ht="18" customHeight="1">
      <c r="A396" s="26">
        <f>IF(B396="","",ROW()-4)</f>
        <v/>
      </c>
      <c r="B396" s="15" t="n"/>
      <c r="C396" s="20">
        <f>IF(B396="","",IFERROR(VLOOKUP(B396,'📦产品库'!$B$4:$D$9999,2,0),"⚠️未找到"))</f>
        <v/>
      </c>
      <c r="D396" s="21">
        <f>IF(B396="","",IFERROR(VLOOKUP(B396,'📦产品库'!$B$4:$E$9999,4,0),""))</f>
        <v/>
      </c>
      <c r="E396" s="21">
        <f>IF(B396="","",IFERROR(VLOOKUP(B396,'📦产品库'!$B$4:$F$9999,5,0),""))</f>
        <v/>
      </c>
      <c r="F396" s="22">
        <f>IF(B396="","",IFERROR(VLOOKUP(B396,'📦产品库'!$B$4:$G$9999,6,0),""))</f>
        <v/>
      </c>
      <c r="G396" s="16" t="n"/>
      <c r="H396" s="23">
        <f>IF(B396="","",1)</f>
        <v/>
      </c>
      <c r="I396" s="17">
        <f>IF(B396="","",IF(G396&lt;&gt;"",G396*H396,F396*H396))</f>
        <v/>
      </c>
      <c r="J396" s="24" t="n"/>
      <c r="K396" s="18">
        <f>IF(B396="","",IF(G396&gt;=2000,20,IF(G396&gt;=1000,10,0)))</f>
        <v/>
      </c>
      <c r="L396" s="27" t="n"/>
    </row>
    <row r="397" ht="18" customHeight="1">
      <c r="A397" s="19">
        <f>IF(B397="","",ROW()-4)</f>
        <v/>
      </c>
      <c r="B397" s="15" t="n"/>
      <c r="C397" s="20">
        <f>IF(B397="","",IFERROR(VLOOKUP(B397,'📦产品库'!$B$4:$D$9999,2,0),"⚠️未找到"))</f>
        <v/>
      </c>
      <c r="D397" s="21">
        <f>IF(B397="","",IFERROR(VLOOKUP(B397,'📦产品库'!$B$4:$E$9999,4,0),""))</f>
        <v/>
      </c>
      <c r="E397" s="21">
        <f>IF(B397="","",IFERROR(VLOOKUP(B397,'📦产品库'!$B$4:$F$9999,5,0),""))</f>
        <v/>
      </c>
      <c r="F397" s="22">
        <f>IF(B397="","",IFERROR(VLOOKUP(B397,'📦产品库'!$B$4:$G$9999,6,0),""))</f>
        <v/>
      </c>
      <c r="G397" s="16" t="n"/>
      <c r="H397" s="23">
        <f>IF(B397="","",1)</f>
        <v/>
      </c>
      <c r="I397" s="17">
        <f>IF(B397="","",IF(G397&lt;&gt;"",G397*H397,F397*H397))</f>
        <v/>
      </c>
      <c r="J397" s="24" t="n"/>
      <c r="K397" s="18">
        <f>IF(B397="","",IF(G397&gt;=2000,20,IF(G397&gt;=1000,10,0)))</f>
        <v/>
      </c>
      <c r="L397" s="25" t="n"/>
    </row>
    <row r="398" ht="18" customHeight="1">
      <c r="A398" s="26">
        <f>IF(B398="","",ROW()-4)</f>
        <v/>
      </c>
      <c r="B398" s="15" t="n"/>
      <c r="C398" s="20">
        <f>IF(B398="","",IFERROR(VLOOKUP(B398,'📦产品库'!$B$4:$D$9999,2,0),"⚠️未找到"))</f>
        <v/>
      </c>
      <c r="D398" s="21">
        <f>IF(B398="","",IFERROR(VLOOKUP(B398,'📦产品库'!$B$4:$E$9999,4,0),""))</f>
        <v/>
      </c>
      <c r="E398" s="21">
        <f>IF(B398="","",IFERROR(VLOOKUP(B398,'📦产品库'!$B$4:$F$9999,5,0),""))</f>
        <v/>
      </c>
      <c r="F398" s="22">
        <f>IF(B398="","",IFERROR(VLOOKUP(B398,'📦产品库'!$B$4:$G$9999,6,0),""))</f>
        <v/>
      </c>
      <c r="G398" s="16" t="n"/>
      <c r="H398" s="23">
        <f>IF(B398="","",1)</f>
        <v/>
      </c>
      <c r="I398" s="17">
        <f>IF(B398="","",IF(G398&lt;&gt;"",G398*H398,F398*H398))</f>
        <v/>
      </c>
      <c r="J398" s="24" t="n"/>
      <c r="K398" s="18">
        <f>IF(B398="","",IF(G398&gt;=2000,20,IF(G398&gt;=1000,10,0)))</f>
        <v/>
      </c>
      <c r="L398" s="27" t="n"/>
    </row>
    <row r="399" ht="18" customHeight="1">
      <c r="A399" s="19">
        <f>IF(B399="","",ROW()-4)</f>
        <v/>
      </c>
      <c r="B399" s="15" t="n"/>
      <c r="C399" s="20">
        <f>IF(B399="","",IFERROR(VLOOKUP(B399,'📦产品库'!$B$4:$D$9999,2,0),"⚠️未找到"))</f>
        <v/>
      </c>
      <c r="D399" s="21">
        <f>IF(B399="","",IFERROR(VLOOKUP(B399,'📦产品库'!$B$4:$E$9999,4,0),""))</f>
        <v/>
      </c>
      <c r="E399" s="21">
        <f>IF(B399="","",IFERROR(VLOOKUP(B399,'📦产品库'!$B$4:$F$9999,5,0),""))</f>
        <v/>
      </c>
      <c r="F399" s="22">
        <f>IF(B399="","",IFERROR(VLOOKUP(B399,'📦产品库'!$B$4:$G$9999,6,0),""))</f>
        <v/>
      </c>
      <c r="G399" s="16" t="n"/>
      <c r="H399" s="23">
        <f>IF(B399="","",1)</f>
        <v/>
      </c>
      <c r="I399" s="17">
        <f>IF(B399="","",IF(G399&lt;&gt;"",G399*H399,F399*H399))</f>
        <v/>
      </c>
      <c r="J399" s="24" t="n"/>
      <c r="K399" s="18">
        <f>IF(B399="","",IF(G399&gt;=2000,20,IF(G399&gt;=1000,10,0)))</f>
        <v/>
      </c>
      <c r="L399" s="25" t="n"/>
    </row>
    <row r="400" ht="18" customHeight="1">
      <c r="A400" s="26">
        <f>IF(B400="","",ROW()-4)</f>
        <v/>
      </c>
      <c r="B400" s="15" t="n"/>
      <c r="C400" s="20">
        <f>IF(B400="","",IFERROR(VLOOKUP(B400,'📦产品库'!$B$4:$D$9999,2,0),"⚠️未找到"))</f>
        <v/>
      </c>
      <c r="D400" s="21">
        <f>IF(B400="","",IFERROR(VLOOKUP(B400,'📦产品库'!$B$4:$E$9999,4,0),""))</f>
        <v/>
      </c>
      <c r="E400" s="21">
        <f>IF(B400="","",IFERROR(VLOOKUP(B400,'📦产品库'!$B$4:$F$9999,5,0),""))</f>
        <v/>
      </c>
      <c r="F400" s="22">
        <f>IF(B400="","",IFERROR(VLOOKUP(B400,'📦产品库'!$B$4:$G$9999,6,0),""))</f>
        <v/>
      </c>
      <c r="G400" s="16" t="n"/>
      <c r="H400" s="23">
        <f>IF(B400="","",1)</f>
        <v/>
      </c>
      <c r="I400" s="17">
        <f>IF(B400="","",IF(G400&lt;&gt;"",G400*H400,F400*H400))</f>
        <v/>
      </c>
      <c r="J400" s="24" t="n"/>
      <c r="K400" s="18">
        <f>IF(B400="","",IF(G400&gt;=2000,20,IF(G400&gt;=1000,10,0)))</f>
        <v/>
      </c>
      <c r="L400" s="27" t="n"/>
    </row>
    <row r="401" ht="18" customHeight="1">
      <c r="A401" s="19">
        <f>IF(B401="","",ROW()-4)</f>
        <v/>
      </c>
      <c r="B401" s="15" t="n"/>
      <c r="C401" s="20">
        <f>IF(B401="","",IFERROR(VLOOKUP(B401,'📦产品库'!$B$4:$D$9999,2,0),"⚠️未找到"))</f>
        <v/>
      </c>
      <c r="D401" s="21">
        <f>IF(B401="","",IFERROR(VLOOKUP(B401,'📦产品库'!$B$4:$E$9999,4,0),""))</f>
        <v/>
      </c>
      <c r="E401" s="21">
        <f>IF(B401="","",IFERROR(VLOOKUP(B401,'📦产品库'!$B$4:$F$9999,5,0),""))</f>
        <v/>
      </c>
      <c r="F401" s="22">
        <f>IF(B401="","",IFERROR(VLOOKUP(B401,'📦产品库'!$B$4:$G$9999,6,0),""))</f>
        <v/>
      </c>
      <c r="G401" s="16" t="n"/>
      <c r="H401" s="23">
        <f>IF(B401="","",1)</f>
        <v/>
      </c>
      <c r="I401" s="17">
        <f>IF(B401="","",IF(G401&lt;&gt;"",G401*H401,F401*H401))</f>
        <v/>
      </c>
      <c r="J401" s="24" t="n"/>
      <c r="K401" s="18">
        <f>IF(B401="","",IF(G401&gt;=2000,20,IF(G401&gt;=1000,10,0)))</f>
        <v/>
      </c>
      <c r="L401" s="25" t="n"/>
    </row>
    <row r="402" ht="18" customHeight="1">
      <c r="A402" s="26">
        <f>IF(B402="","",ROW()-4)</f>
        <v/>
      </c>
      <c r="B402" s="15" t="n"/>
      <c r="C402" s="20">
        <f>IF(B402="","",IFERROR(VLOOKUP(B402,'📦产品库'!$B$4:$D$9999,2,0),"⚠️未找到"))</f>
        <v/>
      </c>
      <c r="D402" s="21">
        <f>IF(B402="","",IFERROR(VLOOKUP(B402,'📦产品库'!$B$4:$E$9999,4,0),""))</f>
        <v/>
      </c>
      <c r="E402" s="21">
        <f>IF(B402="","",IFERROR(VLOOKUP(B402,'📦产品库'!$B$4:$F$9999,5,0),""))</f>
        <v/>
      </c>
      <c r="F402" s="22">
        <f>IF(B402="","",IFERROR(VLOOKUP(B402,'📦产品库'!$B$4:$G$9999,6,0),""))</f>
        <v/>
      </c>
      <c r="G402" s="16" t="n"/>
      <c r="H402" s="23">
        <f>IF(B402="","",1)</f>
        <v/>
      </c>
      <c r="I402" s="17">
        <f>IF(B402="","",IF(G402&lt;&gt;"",G402*H402,F402*H402))</f>
        <v/>
      </c>
      <c r="J402" s="24" t="n"/>
      <c r="K402" s="18">
        <f>IF(B402="","",IF(G402&gt;=2000,20,IF(G402&gt;=1000,10,0)))</f>
        <v/>
      </c>
      <c r="L402" s="27" t="n"/>
    </row>
    <row r="403" ht="18" customHeight="1">
      <c r="A403" s="19">
        <f>IF(B403="","",ROW()-4)</f>
        <v/>
      </c>
      <c r="B403" s="15" t="n"/>
      <c r="C403" s="20">
        <f>IF(B403="","",IFERROR(VLOOKUP(B403,'📦产品库'!$B$4:$D$9999,2,0),"⚠️未找到"))</f>
        <v/>
      </c>
      <c r="D403" s="21">
        <f>IF(B403="","",IFERROR(VLOOKUP(B403,'📦产品库'!$B$4:$E$9999,4,0),""))</f>
        <v/>
      </c>
      <c r="E403" s="21">
        <f>IF(B403="","",IFERROR(VLOOKUP(B403,'📦产品库'!$B$4:$F$9999,5,0),""))</f>
        <v/>
      </c>
      <c r="F403" s="22">
        <f>IF(B403="","",IFERROR(VLOOKUP(B403,'📦产品库'!$B$4:$G$9999,6,0),""))</f>
        <v/>
      </c>
      <c r="G403" s="16" t="n"/>
      <c r="H403" s="23">
        <f>IF(B403="","",1)</f>
        <v/>
      </c>
      <c r="I403" s="17">
        <f>IF(B403="","",IF(G403&lt;&gt;"",G403*H403,F403*H403))</f>
        <v/>
      </c>
      <c r="J403" s="24" t="n"/>
      <c r="K403" s="18">
        <f>IF(B403="","",IF(G403&gt;=2000,20,IF(G403&gt;=1000,10,0)))</f>
        <v/>
      </c>
      <c r="L403" s="25" t="n"/>
    </row>
    <row r="404" ht="18" customHeight="1">
      <c r="A404" s="26">
        <f>IF(B404="","",ROW()-4)</f>
        <v/>
      </c>
      <c r="B404" s="15" t="n"/>
      <c r="C404" s="20">
        <f>IF(B404="","",IFERROR(VLOOKUP(B404,'📦产品库'!$B$4:$D$9999,2,0),"⚠️未找到"))</f>
        <v/>
      </c>
      <c r="D404" s="21">
        <f>IF(B404="","",IFERROR(VLOOKUP(B404,'📦产品库'!$B$4:$E$9999,4,0),""))</f>
        <v/>
      </c>
      <c r="E404" s="21">
        <f>IF(B404="","",IFERROR(VLOOKUP(B404,'📦产品库'!$B$4:$F$9999,5,0),""))</f>
        <v/>
      </c>
      <c r="F404" s="22">
        <f>IF(B404="","",IFERROR(VLOOKUP(B404,'📦产品库'!$B$4:$G$9999,6,0),""))</f>
        <v/>
      </c>
      <c r="G404" s="16" t="n"/>
      <c r="H404" s="23">
        <f>IF(B404="","",1)</f>
        <v/>
      </c>
      <c r="I404" s="17">
        <f>IF(B404="","",IF(G404&lt;&gt;"",G404*H404,F404*H404))</f>
        <v/>
      </c>
      <c r="J404" s="24" t="n"/>
      <c r="K404" s="18">
        <f>IF(B404="","",IF(G404&gt;=2000,20,IF(G404&gt;=1000,10,0)))</f>
        <v/>
      </c>
      <c r="L404" s="27" t="n"/>
    </row>
    <row r="405" ht="18" customHeight="1">
      <c r="A405" s="19">
        <f>IF(B405="","",ROW()-4)</f>
        <v/>
      </c>
      <c r="B405" s="15" t="n"/>
      <c r="C405" s="20">
        <f>IF(B405="","",IFERROR(VLOOKUP(B405,'📦产品库'!$B$4:$D$9999,2,0),"⚠️未找到"))</f>
        <v/>
      </c>
      <c r="D405" s="21">
        <f>IF(B405="","",IFERROR(VLOOKUP(B405,'📦产品库'!$B$4:$E$9999,4,0),""))</f>
        <v/>
      </c>
      <c r="E405" s="21">
        <f>IF(B405="","",IFERROR(VLOOKUP(B405,'📦产品库'!$B$4:$F$9999,5,0),""))</f>
        <v/>
      </c>
      <c r="F405" s="22">
        <f>IF(B405="","",IFERROR(VLOOKUP(B405,'📦产品库'!$B$4:$G$9999,6,0),""))</f>
        <v/>
      </c>
      <c r="G405" s="16" t="n"/>
      <c r="H405" s="23">
        <f>IF(B405="","",1)</f>
        <v/>
      </c>
      <c r="I405" s="17">
        <f>IF(B405="","",IF(G405&lt;&gt;"",G405*H405,F405*H405))</f>
        <v/>
      </c>
      <c r="J405" s="24" t="n"/>
      <c r="K405" s="18">
        <f>IF(B405="","",IF(G405&gt;=2000,20,IF(G405&gt;=1000,10,0)))</f>
        <v/>
      </c>
      <c r="L405" s="25" t="n"/>
    </row>
    <row r="406" ht="18" customHeight="1">
      <c r="A406" s="26">
        <f>IF(B406="","",ROW()-4)</f>
        <v/>
      </c>
      <c r="B406" s="15" t="n"/>
      <c r="C406" s="20">
        <f>IF(B406="","",IFERROR(VLOOKUP(B406,'📦产品库'!$B$4:$D$9999,2,0),"⚠️未找到"))</f>
        <v/>
      </c>
      <c r="D406" s="21">
        <f>IF(B406="","",IFERROR(VLOOKUP(B406,'📦产品库'!$B$4:$E$9999,4,0),""))</f>
        <v/>
      </c>
      <c r="E406" s="21">
        <f>IF(B406="","",IFERROR(VLOOKUP(B406,'📦产品库'!$B$4:$F$9999,5,0),""))</f>
        <v/>
      </c>
      <c r="F406" s="22">
        <f>IF(B406="","",IFERROR(VLOOKUP(B406,'📦产品库'!$B$4:$G$9999,6,0),""))</f>
        <v/>
      </c>
      <c r="G406" s="16" t="n"/>
      <c r="H406" s="23">
        <f>IF(B406="","",1)</f>
        <v/>
      </c>
      <c r="I406" s="17">
        <f>IF(B406="","",IF(G406&lt;&gt;"",G406*H406,F406*H406))</f>
        <v/>
      </c>
      <c r="J406" s="24" t="n"/>
      <c r="K406" s="18">
        <f>IF(B406="","",IF(G406&gt;=2000,20,IF(G406&gt;=1000,10,0)))</f>
        <v/>
      </c>
      <c r="L406" s="27" t="n"/>
    </row>
    <row r="407" ht="18" customHeight="1">
      <c r="A407" s="19">
        <f>IF(B407="","",ROW()-4)</f>
        <v/>
      </c>
      <c r="B407" s="15" t="n"/>
      <c r="C407" s="20">
        <f>IF(B407="","",IFERROR(VLOOKUP(B407,'📦产品库'!$B$4:$D$9999,2,0),"⚠️未找到"))</f>
        <v/>
      </c>
      <c r="D407" s="21">
        <f>IF(B407="","",IFERROR(VLOOKUP(B407,'📦产品库'!$B$4:$E$9999,4,0),""))</f>
        <v/>
      </c>
      <c r="E407" s="21">
        <f>IF(B407="","",IFERROR(VLOOKUP(B407,'📦产品库'!$B$4:$F$9999,5,0),""))</f>
        <v/>
      </c>
      <c r="F407" s="22">
        <f>IF(B407="","",IFERROR(VLOOKUP(B407,'📦产品库'!$B$4:$G$9999,6,0),""))</f>
        <v/>
      </c>
      <c r="G407" s="16" t="n"/>
      <c r="H407" s="23">
        <f>IF(B407="","",1)</f>
        <v/>
      </c>
      <c r="I407" s="17">
        <f>IF(B407="","",IF(G407&lt;&gt;"",G407*H407,F407*H407))</f>
        <v/>
      </c>
      <c r="J407" s="24" t="n"/>
      <c r="K407" s="18">
        <f>IF(B407="","",IF(G407&gt;=2000,20,IF(G407&gt;=1000,10,0)))</f>
        <v/>
      </c>
      <c r="L407" s="25" t="n"/>
    </row>
    <row r="408" ht="18" customHeight="1">
      <c r="A408" s="26">
        <f>IF(B408="","",ROW()-4)</f>
        <v/>
      </c>
      <c r="B408" s="15" t="n"/>
      <c r="C408" s="20">
        <f>IF(B408="","",IFERROR(VLOOKUP(B408,'📦产品库'!$B$4:$D$9999,2,0),"⚠️未找到"))</f>
        <v/>
      </c>
      <c r="D408" s="21">
        <f>IF(B408="","",IFERROR(VLOOKUP(B408,'📦产品库'!$B$4:$E$9999,4,0),""))</f>
        <v/>
      </c>
      <c r="E408" s="21">
        <f>IF(B408="","",IFERROR(VLOOKUP(B408,'📦产品库'!$B$4:$F$9999,5,0),""))</f>
        <v/>
      </c>
      <c r="F408" s="22">
        <f>IF(B408="","",IFERROR(VLOOKUP(B408,'📦产品库'!$B$4:$G$9999,6,0),""))</f>
        <v/>
      </c>
      <c r="G408" s="16" t="n"/>
      <c r="H408" s="23">
        <f>IF(B408="","",1)</f>
        <v/>
      </c>
      <c r="I408" s="17">
        <f>IF(B408="","",IF(G408&lt;&gt;"",G408*H408,F408*H408))</f>
        <v/>
      </c>
      <c r="J408" s="24" t="n"/>
      <c r="K408" s="18">
        <f>IF(B408="","",IF(G408&gt;=2000,20,IF(G408&gt;=1000,10,0)))</f>
        <v/>
      </c>
      <c r="L408" s="27" t="n"/>
    </row>
    <row r="409" ht="18" customHeight="1">
      <c r="A409" s="19">
        <f>IF(B409="","",ROW()-4)</f>
        <v/>
      </c>
      <c r="B409" s="15" t="n"/>
      <c r="C409" s="20">
        <f>IF(B409="","",IFERROR(VLOOKUP(B409,'📦产品库'!$B$4:$D$9999,2,0),"⚠️未找到"))</f>
        <v/>
      </c>
      <c r="D409" s="21">
        <f>IF(B409="","",IFERROR(VLOOKUP(B409,'📦产品库'!$B$4:$E$9999,4,0),""))</f>
        <v/>
      </c>
      <c r="E409" s="21">
        <f>IF(B409="","",IFERROR(VLOOKUP(B409,'📦产品库'!$B$4:$F$9999,5,0),""))</f>
        <v/>
      </c>
      <c r="F409" s="22">
        <f>IF(B409="","",IFERROR(VLOOKUP(B409,'📦产品库'!$B$4:$G$9999,6,0),""))</f>
        <v/>
      </c>
      <c r="G409" s="16" t="n"/>
      <c r="H409" s="23">
        <f>IF(B409="","",1)</f>
        <v/>
      </c>
      <c r="I409" s="17">
        <f>IF(B409="","",IF(G409&lt;&gt;"",G409*H409,F409*H409))</f>
        <v/>
      </c>
      <c r="J409" s="24" t="n"/>
      <c r="K409" s="18">
        <f>IF(B409="","",IF(G409&gt;=2000,20,IF(G409&gt;=1000,10,0)))</f>
        <v/>
      </c>
      <c r="L409" s="25" t="n"/>
    </row>
    <row r="410" ht="18" customHeight="1">
      <c r="A410" s="26">
        <f>IF(B410="","",ROW()-4)</f>
        <v/>
      </c>
      <c r="B410" s="15" t="n"/>
      <c r="C410" s="20">
        <f>IF(B410="","",IFERROR(VLOOKUP(B410,'📦产品库'!$B$4:$D$9999,2,0),"⚠️未找到"))</f>
        <v/>
      </c>
      <c r="D410" s="21">
        <f>IF(B410="","",IFERROR(VLOOKUP(B410,'📦产品库'!$B$4:$E$9999,4,0),""))</f>
        <v/>
      </c>
      <c r="E410" s="21">
        <f>IF(B410="","",IFERROR(VLOOKUP(B410,'📦产品库'!$B$4:$F$9999,5,0),""))</f>
        <v/>
      </c>
      <c r="F410" s="22">
        <f>IF(B410="","",IFERROR(VLOOKUP(B410,'📦产品库'!$B$4:$G$9999,6,0),""))</f>
        <v/>
      </c>
      <c r="G410" s="16" t="n"/>
      <c r="H410" s="23">
        <f>IF(B410="","",1)</f>
        <v/>
      </c>
      <c r="I410" s="17">
        <f>IF(B410="","",IF(G410&lt;&gt;"",G410*H410,F410*H410))</f>
        <v/>
      </c>
      <c r="J410" s="24" t="n"/>
      <c r="K410" s="18">
        <f>IF(B410="","",IF(G410&gt;=2000,20,IF(G410&gt;=1000,10,0)))</f>
        <v/>
      </c>
      <c r="L410" s="27" t="n"/>
    </row>
    <row r="411" ht="18" customHeight="1">
      <c r="A411" s="19">
        <f>IF(B411="","",ROW()-4)</f>
        <v/>
      </c>
      <c r="B411" s="15" t="n"/>
      <c r="C411" s="20">
        <f>IF(B411="","",IFERROR(VLOOKUP(B411,'📦产品库'!$B$4:$D$9999,2,0),"⚠️未找到"))</f>
        <v/>
      </c>
      <c r="D411" s="21">
        <f>IF(B411="","",IFERROR(VLOOKUP(B411,'📦产品库'!$B$4:$E$9999,4,0),""))</f>
        <v/>
      </c>
      <c r="E411" s="21">
        <f>IF(B411="","",IFERROR(VLOOKUP(B411,'📦产品库'!$B$4:$F$9999,5,0),""))</f>
        <v/>
      </c>
      <c r="F411" s="22">
        <f>IF(B411="","",IFERROR(VLOOKUP(B411,'📦产品库'!$B$4:$G$9999,6,0),""))</f>
        <v/>
      </c>
      <c r="G411" s="16" t="n"/>
      <c r="H411" s="23">
        <f>IF(B411="","",1)</f>
        <v/>
      </c>
      <c r="I411" s="17">
        <f>IF(B411="","",IF(G411&lt;&gt;"",G411*H411,F411*H411))</f>
        <v/>
      </c>
      <c r="J411" s="24" t="n"/>
      <c r="K411" s="18">
        <f>IF(B411="","",IF(G411&gt;=2000,20,IF(G411&gt;=1000,10,0)))</f>
        <v/>
      </c>
      <c r="L411" s="25" t="n"/>
    </row>
    <row r="412" ht="18" customHeight="1">
      <c r="A412" s="26">
        <f>IF(B412="","",ROW()-4)</f>
        <v/>
      </c>
      <c r="B412" s="15" t="n"/>
      <c r="C412" s="20">
        <f>IF(B412="","",IFERROR(VLOOKUP(B412,'📦产品库'!$B$4:$D$9999,2,0),"⚠️未找到"))</f>
        <v/>
      </c>
      <c r="D412" s="21">
        <f>IF(B412="","",IFERROR(VLOOKUP(B412,'📦产品库'!$B$4:$E$9999,4,0),""))</f>
        <v/>
      </c>
      <c r="E412" s="21">
        <f>IF(B412="","",IFERROR(VLOOKUP(B412,'📦产品库'!$B$4:$F$9999,5,0),""))</f>
        <v/>
      </c>
      <c r="F412" s="22">
        <f>IF(B412="","",IFERROR(VLOOKUP(B412,'📦产品库'!$B$4:$G$9999,6,0),""))</f>
        <v/>
      </c>
      <c r="G412" s="16" t="n"/>
      <c r="H412" s="23">
        <f>IF(B412="","",1)</f>
        <v/>
      </c>
      <c r="I412" s="17">
        <f>IF(B412="","",IF(G412&lt;&gt;"",G412*H412,F412*H412))</f>
        <v/>
      </c>
      <c r="J412" s="24" t="n"/>
      <c r="K412" s="18">
        <f>IF(B412="","",IF(G412&gt;=2000,20,IF(G412&gt;=1000,10,0)))</f>
        <v/>
      </c>
      <c r="L412" s="27" t="n"/>
    </row>
    <row r="413" ht="18" customHeight="1">
      <c r="A413" s="19">
        <f>IF(B413="","",ROW()-4)</f>
        <v/>
      </c>
      <c r="B413" s="15" t="n"/>
      <c r="C413" s="20">
        <f>IF(B413="","",IFERROR(VLOOKUP(B413,'📦产品库'!$B$4:$D$9999,2,0),"⚠️未找到"))</f>
        <v/>
      </c>
      <c r="D413" s="21">
        <f>IF(B413="","",IFERROR(VLOOKUP(B413,'📦产品库'!$B$4:$E$9999,4,0),""))</f>
        <v/>
      </c>
      <c r="E413" s="21">
        <f>IF(B413="","",IFERROR(VLOOKUP(B413,'📦产品库'!$B$4:$F$9999,5,0),""))</f>
        <v/>
      </c>
      <c r="F413" s="22">
        <f>IF(B413="","",IFERROR(VLOOKUP(B413,'📦产品库'!$B$4:$G$9999,6,0),""))</f>
        <v/>
      </c>
      <c r="G413" s="16" t="n"/>
      <c r="H413" s="23">
        <f>IF(B413="","",1)</f>
        <v/>
      </c>
      <c r="I413" s="17">
        <f>IF(B413="","",IF(G413&lt;&gt;"",G413*H413,F413*H413))</f>
        <v/>
      </c>
      <c r="J413" s="24" t="n"/>
      <c r="K413" s="18">
        <f>IF(B413="","",IF(G413&gt;=2000,20,IF(G413&gt;=1000,10,0)))</f>
        <v/>
      </c>
      <c r="L413" s="25" t="n"/>
    </row>
    <row r="414" ht="18" customHeight="1">
      <c r="A414" s="26">
        <f>IF(B414="","",ROW()-4)</f>
        <v/>
      </c>
      <c r="B414" s="15" t="n"/>
      <c r="C414" s="20">
        <f>IF(B414="","",IFERROR(VLOOKUP(B414,'📦产品库'!$B$4:$D$9999,2,0),"⚠️未找到"))</f>
        <v/>
      </c>
      <c r="D414" s="21">
        <f>IF(B414="","",IFERROR(VLOOKUP(B414,'📦产品库'!$B$4:$E$9999,4,0),""))</f>
        <v/>
      </c>
      <c r="E414" s="21">
        <f>IF(B414="","",IFERROR(VLOOKUP(B414,'📦产品库'!$B$4:$F$9999,5,0),""))</f>
        <v/>
      </c>
      <c r="F414" s="22">
        <f>IF(B414="","",IFERROR(VLOOKUP(B414,'📦产品库'!$B$4:$G$9999,6,0),""))</f>
        <v/>
      </c>
      <c r="G414" s="16" t="n"/>
      <c r="H414" s="23">
        <f>IF(B414="","",1)</f>
        <v/>
      </c>
      <c r="I414" s="17">
        <f>IF(B414="","",IF(G414&lt;&gt;"",G414*H414,F414*H414))</f>
        <v/>
      </c>
      <c r="J414" s="24" t="n"/>
      <c r="K414" s="18">
        <f>IF(B414="","",IF(G414&gt;=2000,20,IF(G414&gt;=1000,10,0)))</f>
        <v/>
      </c>
      <c r="L414" s="27" t="n"/>
    </row>
    <row r="415" ht="18" customHeight="1">
      <c r="A415" s="19">
        <f>IF(B415="","",ROW()-4)</f>
        <v/>
      </c>
      <c r="B415" s="15" t="n"/>
      <c r="C415" s="20">
        <f>IF(B415="","",IFERROR(VLOOKUP(B415,'📦产品库'!$B$4:$D$9999,2,0),"⚠️未找到"))</f>
        <v/>
      </c>
      <c r="D415" s="21">
        <f>IF(B415="","",IFERROR(VLOOKUP(B415,'📦产品库'!$B$4:$E$9999,4,0),""))</f>
        <v/>
      </c>
      <c r="E415" s="21">
        <f>IF(B415="","",IFERROR(VLOOKUP(B415,'📦产品库'!$B$4:$F$9999,5,0),""))</f>
        <v/>
      </c>
      <c r="F415" s="22">
        <f>IF(B415="","",IFERROR(VLOOKUP(B415,'📦产品库'!$B$4:$G$9999,6,0),""))</f>
        <v/>
      </c>
      <c r="G415" s="16" t="n"/>
      <c r="H415" s="23">
        <f>IF(B415="","",1)</f>
        <v/>
      </c>
      <c r="I415" s="17">
        <f>IF(B415="","",IF(G415&lt;&gt;"",G415*H415,F415*H415))</f>
        <v/>
      </c>
      <c r="J415" s="24" t="n"/>
      <c r="K415" s="18">
        <f>IF(B415="","",IF(G415&gt;=2000,20,IF(G415&gt;=1000,10,0)))</f>
        <v/>
      </c>
      <c r="L415" s="25" t="n"/>
    </row>
    <row r="416" ht="18" customHeight="1">
      <c r="A416" s="26">
        <f>IF(B416="","",ROW()-4)</f>
        <v/>
      </c>
      <c r="B416" s="15" t="n"/>
      <c r="C416" s="20">
        <f>IF(B416="","",IFERROR(VLOOKUP(B416,'📦产品库'!$B$4:$D$9999,2,0),"⚠️未找到"))</f>
        <v/>
      </c>
      <c r="D416" s="21">
        <f>IF(B416="","",IFERROR(VLOOKUP(B416,'📦产品库'!$B$4:$E$9999,4,0),""))</f>
        <v/>
      </c>
      <c r="E416" s="21">
        <f>IF(B416="","",IFERROR(VLOOKUP(B416,'📦产品库'!$B$4:$F$9999,5,0),""))</f>
        <v/>
      </c>
      <c r="F416" s="22">
        <f>IF(B416="","",IFERROR(VLOOKUP(B416,'📦产品库'!$B$4:$G$9999,6,0),""))</f>
        <v/>
      </c>
      <c r="G416" s="16" t="n"/>
      <c r="H416" s="23">
        <f>IF(B416="","",1)</f>
        <v/>
      </c>
      <c r="I416" s="17">
        <f>IF(B416="","",IF(G416&lt;&gt;"",G416*H416,F416*H416))</f>
        <v/>
      </c>
      <c r="J416" s="24" t="n"/>
      <c r="K416" s="18">
        <f>IF(B416="","",IF(G416&gt;=2000,20,IF(G416&gt;=1000,10,0)))</f>
        <v/>
      </c>
      <c r="L416" s="27" t="n"/>
    </row>
    <row r="417" ht="18" customHeight="1">
      <c r="A417" s="19">
        <f>IF(B417="","",ROW()-4)</f>
        <v/>
      </c>
      <c r="B417" s="15" t="n"/>
      <c r="C417" s="20">
        <f>IF(B417="","",IFERROR(VLOOKUP(B417,'📦产品库'!$B$4:$D$9999,2,0),"⚠️未找到"))</f>
        <v/>
      </c>
      <c r="D417" s="21">
        <f>IF(B417="","",IFERROR(VLOOKUP(B417,'📦产品库'!$B$4:$E$9999,4,0),""))</f>
        <v/>
      </c>
      <c r="E417" s="21">
        <f>IF(B417="","",IFERROR(VLOOKUP(B417,'📦产品库'!$B$4:$F$9999,5,0),""))</f>
        <v/>
      </c>
      <c r="F417" s="22">
        <f>IF(B417="","",IFERROR(VLOOKUP(B417,'📦产品库'!$B$4:$G$9999,6,0),""))</f>
        <v/>
      </c>
      <c r="G417" s="16" t="n"/>
      <c r="H417" s="23">
        <f>IF(B417="","",1)</f>
        <v/>
      </c>
      <c r="I417" s="17">
        <f>IF(B417="","",IF(G417&lt;&gt;"",G417*H417,F417*H417))</f>
        <v/>
      </c>
      <c r="J417" s="24" t="n"/>
      <c r="K417" s="18">
        <f>IF(B417="","",IF(G417&gt;=2000,20,IF(G417&gt;=1000,10,0)))</f>
        <v/>
      </c>
      <c r="L417" s="25" t="n"/>
    </row>
    <row r="418" ht="18" customHeight="1">
      <c r="A418" s="26">
        <f>IF(B418="","",ROW()-4)</f>
        <v/>
      </c>
      <c r="B418" s="15" t="n"/>
      <c r="C418" s="20">
        <f>IF(B418="","",IFERROR(VLOOKUP(B418,'📦产品库'!$B$4:$D$9999,2,0),"⚠️未找到"))</f>
        <v/>
      </c>
      <c r="D418" s="21">
        <f>IF(B418="","",IFERROR(VLOOKUP(B418,'📦产品库'!$B$4:$E$9999,4,0),""))</f>
        <v/>
      </c>
      <c r="E418" s="21">
        <f>IF(B418="","",IFERROR(VLOOKUP(B418,'📦产品库'!$B$4:$F$9999,5,0),""))</f>
        <v/>
      </c>
      <c r="F418" s="22">
        <f>IF(B418="","",IFERROR(VLOOKUP(B418,'📦产品库'!$B$4:$G$9999,6,0),""))</f>
        <v/>
      </c>
      <c r="G418" s="16" t="n"/>
      <c r="H418" s="23">
        <f>IF(B418="","",1)</f>
        <v/>
      </c>
      <c r="I418" s="17">
        <f>IF(B418="","",IF(G418&lt;&gt;"",G418*H418,F418*H418))</f>
        <v/>
      </c>
      <c r="J418" s="24" t="n"/>
      <c r="K418" s="18">
        <f>IF(B418="","",IF(G418&gt;=2000,20,IF(G418&gt;=1000,10,0)))</f>
        <v/>
      </c>
      <c r="L418" s="27" t="n"/>
    </row>
    <row r="419" ht="18" customHeight="1">
      <c r="A419" s="19">
        <f>IF(B419="","",ROW()-4)</f>
        <v/>
      </c>
      <c r="B419" s="15" t="n"/>
      <c r="C419" s="20">
        <f>IF(B419="","",IFERROR(VLOOKUP(B419,'📦产品库'!$B$4:$D$9999,2,0),"⚠️未找到"))</f>
        <v/>
      </c>
      <c r="D419" s="21">
        <f>IF(B419="","",IFERROR(VLOOKUP(B419,'📦产品库'!$B$4:$E$9999,4,0),""))</f>
        <v/>
      </c>
      <c r="E419" s="21">
        <f>IF(B419="","",IFERROR(VLOOKUP(B419,'📦产品库'!$B$4:$F$9999,5,0),""))</f>
        <v/>
      </c>
      <c r="F419" s="22">
        <f>IF(B419="","",IFERROR(VLOOKUP(B419,'📦产品库'!$B$4:$G$9999,6,0),""))</f>
        <v/>
      </c>
      <c r="G419" s="16" t="n"/>
      <c r="H419" s="23">
        <f>IF(B419="","",1)</f>
        <v/>
      </c>
      <c r="I419" s="17">
        <f>IF(B419="","",IF(G419&lt;&gt;"",G419*H419,F419*H419))</f>
        <v/>
      </c>
      <c r="J419" s="24" t="n"/>
      <c r="K419" s="18">
        <f>IF(B419="","",IF(G419&gt;=2000,20,IF(G419&gt;=1000,10,0)))</f>
        <v/>
      </c>
      <c r="L419" s="25" t="n"/>
    </row>
    <row r="420" ht="18" customHeight="1">
      <c r="A420" s="26">
        <f>IF(B420="","",ROW()-4)</f>
        <v/>
      </c>
      <c r="B420" s="15" t="n"/>
      <c r="C420" s="20">
        <f>IF(B420="","",IFERROR(VLOOKUP(B420,'📦产品库'!$B$4:$D$9999,2,0),"⚠️未找到"))</f>
        <v/>
      </c>
      <c r="D420" s="21">
        <f>IF(B420="","",IFERROR(VLOOKUP(B420,'📦产品库'!$B$4:$E$9999,4,0),""))</f>
        <v/>
      </c>
      <c r="E420" s="21">
        <f>IF(B420="","",IFERROR(VLOOKUP(B420,'📦产品库'!$B$4:$F$9999,5,0),""))</f>
        <v/>
      </c>
      <c r="F420" s="22">
        <f>IF(B420="","",IFERROR(VLOOKUP(B420,'📦产品库'!$B$4:$G$9999,6,0),""))</f>
        <v/>
      </c>
      <c r="G420" s="16" t="n"/>
      <c r="H420" s="23">
        <f>IF(B420="","",1)</f>
        <v/>
      </c>
      <c r="I420" s="17">
        <f>IF(B420="","",IF(G420&lt;&gt;"",G420*H420,F420*H420))</f>
        <v/>
      </c>
      <c r="J420" s="24" t="n"/>
      <c r="K420" s="18">
        <f>IF(B420="","",IF(G420&gt;=2000,20,IF(G420&gt;=1000,10,0)))</f>
        <v/>
      </c>
      <c r="L420" s="27" t="n"/>
    </row>
    <row r="421" ht="18" customHeight="1">
      <c r="A421" s="19">
        <f>IF(B421="","",ROW()-4)</f>
        <v/>
      </c>
      <c r="B421" s="15" t="n"/>
      <c r="C421" s="20">
        <f>IF(B421="","",IFERROR(VLOOKUP(B421,'📦产品库'!$B$4:$D$9999,2,0),"⚠️未找到"))</f>
        <v/>
      </c>
      <c r="D421" s="21">
        <f>IF(B421="","",IFERROR(VLOOKUP(B421,'📦产品库'!$B$4:$E$9999,4,0),""))</f>
        <v/>
      </c>
      <c r="E421" s="21">
        <f>IF(B421="","",IFERROR(VLOOKUP(B421,'📦产品库'!$B$4:$F$9999,5,0),""))</f>
        <v/>
      </c>
      <c r="F421" s="22">
        <f>IF(B421="","",IFERROR(VLOOKUP(B421,'📦产品库'!$B$4:$G$9999,6,0),""))</f>
        <v/>
      </c>
      <c r="G421" s="16" t="n"/>
      <c r="H421" s="23">
        <f>IF(B421="","",1)</f>
        <v/>
      </c>
      <c r="I421" s="17">
        <f>IF(B421="","",IF(G421&lt;&gt;"",G421*H421,F421*H421))</f>
        <v/>
      </c>
      <c r="J421" s="24" t="n"/>
      <c r="K421" s="18">
        <f>IF(B421="","",IF(G421&gt;=2000,20,IF(G421&gt;=1000,10,0)))</f>
        <v/>
      </c>
      <c r="L421" s="25" t="n"/>
    </row>
    <row r="422" ht="18" customHeight="1">
      <c r="A422" s="26">
        <f>IF(B422="","",ROW()-4)</f>
        <v/>
      </c>
      <c r="B422" s="15" t="n"/>
      <c r="C422" s="20">
        <f>IF(B422="","",IFERROR(VLOOKUP(B422,'📦产品库'!$B$4:$D$9999,2,0),"⚠️未找到"))</f>
        <v/>
      </c>
      <c r="D422" s="21">
        <f>IF(B422="","",IFERROR(VLOOKUP(B422,'📦产品库'!$B$4:$E$9999,4,0),""))</f>
        <v/>
      </c>
      <c r="E422" s="21">
        <f>IF(B422="","",IFERROR(VLOOKUP(B422,'📦产品库'!$B$4:$F$9999,5,0),""))</f>
        <v/>
      </c>
      <c r="F422" s="22">
        <f>IF(B422="","",IFERROR(VLOOKUP(B422,'📦产品库'!$B$4:$G$9999,6,0),""))</f>
        <v/>
      </c>
      <c r="G422" s="16" t="n"/>
      <c r="H422" s="23">
        <f>IF(B422="","",1)</f>
        <v/>
      </c>
      <c r="I422" s="17">
        <f>IF(B422="","",IF(G422&lt;&gt;"",G422*H422,F422*H422))</f>
        <v/>
      </c>
      <c r="J422" s="24" t="n"/>
      <c r="K422" s="18">
        <f>IF(B422="","",IF(G422&gt;=2000,20,IF(G422&gt;=1000,10,0)))</f>
        <v/>
      </c>
      <c r="L422" s="27" t="n"/>
    </row>
    <row r="423" ht="18" customHeight="1">
      <c r="A423" s="19">
        <f>IF(B423="","",ROW()-4)</f>
        <v/>
      </c>
      <c r="B423" s="15" t="n"/>
      <c r="C423" s="20">
        <f>IF(B423="","",IFERROR(VLOOKUP(B423,'📦产品库'!$B$4:$D$9999,2,0),"⚠️未找到"))</f>
        <v/>
      </c>
      <c r="D423" s="21">
        <f>IF(B423="","",IFERROR(VLOOKUP(B423,'📦产品库'!$B$4:$E$9999,4,0),""))</f>
        <v/>
      </c>
      <c r="E423" s="21">
        <f>IF(B423="","",IFERROR(VLOOKUP(B423,'📦产品库'!$B$4:$F$9999,5,0),""))</f>
        <v/>
      </c>
      <c r="F423" s="22">
        <f>IF(B423="","",IFERROR(VLOOKUP(B423,'📦产品库'!$B$4:$G$9999,6,0),""))</f>
        <v/>
      </c>
      <c r="G423" s="16" t="n"/>
      <c r="H423" s="23">
        <f>IF(B423="","",1)</f>
        <v/>
      </c>
      <c r="I423" s="17">
        <f>IF(B423="","",IF(G423&lt;&gt;"",G423*H423,F423*H423))</f>
        <v/>
      </c>
      <c r="J423" s="24" t="n"/>
      <c r="K423" s="18">
        <f>IF(B423="","",IF(G423&gt;=2000,20,IF(G423&gt;=1000,10,0)))</f>
        <v/>
      </c>
      <c r="L423" s="25" t="n"/>
    </row>
    <row r="424" ht="18" customHeight="1">
      <c r="A424" s="26">
        <f>IF(B424="","",ROW()-4)</f>
        <v/>
      </c>
      <c r="B424" s="15" t="n"/>
      <c r="C424" s="20">
        <f>IF(B424="","",IFERROR(VLOOKUP(B424,'📦产品库'!$B$4:$D$9999,2,0),"⚠️未找到"))</f>
        <v/>
      </c>
      <c r="D424" s="21">
        <f>IF(B424="","",IFERROR(VLOOKUP(B424,'📦产品库'!$B$4:$E$9999,4,0),""))</f>
        <v/>
      </c>
      <c r="E424" s="21">
        <f>IF(B424="","",IFERROR(VLOOKUP(B424,'📦产品库'!$B$4:$F$9999,5,0),""))</f>
        <v/>
      </c>
      <c r="F424" s="22">
        <f>IF(B424="","",IFERROR(VLOOKUP(B424,'📦产品库'!$B$4:$G$9999,6,0),""))</f>
        <v/>
      </c>
      <c r="G424" s="16" t="n"/>
      <c r="H424" s="23">
        <f>IF(B424="","",1)</f>
        <v/>
      </c>
      <c r="I424" s="17">
        <f>IF(B424="","",IF(G424&lt;&gt;"",G424*H424,F424*H424))</f>
        <v/>
      </c>
      <c r="J424" s="24" t="n"/>
      <c r="K424" s="18">
        <f>IF(B424="","",IF(G424&gt;=2000,20,IF(G424&gt;=1000,10,0)))</f>
        <v/>
      </c>
      <c r="L424" s="27" t="n"/>
    </row>
    <row r="425" ht="18" customHeight="1">
      <c r="A425" s="19">
        <f>IF(B425="","",ROW()-4)</f>
        <v/>
      </c>
      <c r="B425" s="15" t="n"/>
      <c r="C425" s="20">
        <f>IF(B425="","",IFERROR(VLOOKUP(B425,'📦产品库'!$B$4:$D$9999,2,0),"⚠️未找到"))</f>
        <v/>
      </c>
      <c r="D425" s="21">
        <f>IF(B425="","",IFERROR(VLOOKUP(B425,'📦产品库'!$B$4:$E$9999,4,0),""))</f>
        <v/>
      </c>
      <c r="E425" s="21">
        <f>IF(B425="","",IFERROR(VLOOKUP(B425,'📦产品库'!$B$4:$F$9999,5,0),""))</f>
        <v/>
      </c>
      <c r="F425" s="22">
        <f>IF(B425="","",IFERROR(VLOOKUP(B425,'📦产品库'!$B$4:$G$9999,6,0),""))</f>
        <v/>
      </c>
      <c r="G425" s="16" t="n"/>
      <c r="H425" s="23">
        <f>IF(B425="","",1)</f>
        <v/>
      </c>
      <c r="I425" s="17">
        <f>IF(B425="","",IF(G425&lt;&gt;"",G425*H425,F425*H425))</f>
        <v/>
      </c>
      <c r="J425" s="24" t="n"/>
      <c r="K425" s="18">
        <f>IF(B425="","",IF(G425&gt;=2000,20,IF(G425&gt;=1000,10,0)))</f>
        <v/>
      </c>
      <c r="L425" s="25" t="n"/>
    </row>
    <row r="426" ht="18" customHeight="1">
      <c r="A426" s="26">
        <f>IF(B426="","",ROW()-4)</f>
        <v/>
      </c>
      <c r="B426" s="15" t="n"/>
      <c r="C426" s="20">
        <f>IF(B426="","",IFERROR(VLOOKUP(B426,'📦产品库'!$B$4:$D$9999,2,0),"⚠️未找到"))</f>
        <v/>
      </c>
      <c r="D426" s="21">
        <f>IF(B426="","",IFERROR(VLOOKUP(B426,'📦产品库'!$B$4:$E$9999,4,0),""))</f>
        <v/>
      </c>
      <c r="E426" s="21">
        <f>IF(B426="","",IFERROR(VLOOKUP(B426,'📦产品库'!$B$4:$F$9999,5,0),""))</f>
        <v/>
      </c>
      <c r="F426" s="22">
        <f>IF(B426="","",IFERROR(VLOOKUP(B426,'📦产品库'!$B$4:$G$9999,6,0),""))</f>
        <v/>
      </c>
      <c r="G426" s="16" t="n"/>
      <c r="H426" s="23">
        <f>IF(B426="","",1)</f>
        <v/>
      </c>
      <c r="I426" s="17">
        <f>IF(B426="","",IF(G426&lt;&gt;"",G426*H426,F426*H426))</f>
        <v/>
      </c>
      <c r="J426" s="24" t="n"/>
      <c r="K426" s="18">
        <f>IF(B426="","",IF(G426&gt;=2000,20,IF(G426&gt;=1000,10,0)))</f>
        <v/>
      </c>
      <c r="L426" s="27" t="n"/>
    </row>
    <row r="427" ht="18" customHeight="1">
      <c r="A427" s="19">
        <f>IF(B427="","",ROW()-4)</f>
        <v/>
      </c>
      <c r="B427" s="15" t="n"/>
      <c r="C427" s="20">
        <f>IF(B427="","",IFERROR(VLOOKUP(B427,'📦产品库'!$B$4:$D$9999,2,0),"⚠️未找到"))</f>
        <v/>
      </c>
      <c r="D427" s="21">
        <f>IF(B427="","",IFERROR(VLOOKUP(B427,'📦产品库'!$B$4:$E$9999,4,0),""))</f>
        <v/>
      </c>
      <c r="E427" s="21">
        <f>IF(B427="","",IFERROR(VLOOKUP(B427,'📦产品库'!$B$4:$F$9999,5,0),""))</f>
        <v/>
      </c>
      <c r="F427" s="22">
        <f>IF(B427="","",IFERROR(VLOOKUP(B427,'📦产品库'!$B$4:$G$9999,6,0),""))</f>
        <v/>
      </c>
      <c r="G427" s="16" t="n"/>
      <c r="H427" s="23">
        <f>IF(B427="","",1)</f>
        <v/>
      </c>
      <c r="I427" s="17">
        <f>IF(B427="","",IF(G427&lt;&gt;"",G427*H427,F427*H427))</f>
        <v/>
      </c>
      <c r="J427" s="24" t="n"/>
      <c r="K427" s="18">
        <f>IF(B427="","",IF(G427&gt;=2000,20,IF(G427&gt;=1000,10,0)))</f>
        <v/>
      </c>
      <c r="L427" s="25" t="n"/>
    </row>
    <row r="428" ht="18" customHeight="1">
      <c r="A428" s="26">
        <f>IF(B428="","",ROW()-4)</f>
        <v/>
      </c>
      <c r="B428" s="15" t="n"/>
      <c r="C428" s="20">
        <f>IF(B428="","",IFERROR(VLOOKUP(B428,'📦产品库'!$B$4:$D$9999,2,0),"⚠️未找到"))</f>
        <v/>
      </c>
      <c r="D428" s="21">
        <f>IF(B428="","",IFERROR(VLOOKUP(B428,'📦产品库'!$B$4:$E$9999,4,0),""))</f>
        <v/>
      </c>
      <c r="E428" s="21">
        <f>IF(B428="","",IFERROR(VLOOKUP(B428,'📦产品库'!$B$4:$F$9999,5,0),""))</f>
        <v/>
      </c>
      <c r="F428" s="22">
        <f>IF(B428="","",IFERROR(VLOOKUP(B428,'📦产品库'!$B$4:$G$9999,6,0),""))</f>
        <v/>
      </c>
      <c r="G428" s="16" t="n"/>
      <c r="H428" s="23">
        <f>IF(B428="","",1)</f>
        <v/>
      </c>
      <c r="I428" s="17">
        <f>IF(B428="","",IF(G428&lt;&gt;"",G428*H428,F428*H428))</f>
        <v/>
      </c>
      <c r="J428" s="24" t="n"/>
      <c r="K428" s="18">
        <f>IF(B428="","",IF(G428&gt;=2000,20,IF(G428&gt;=1000,10,0)))</f>
        <v/>
      </c>
      <c r="L428" s="27" t="n"/>
    </row>
    <row r="429" ht="18" customHeight="1">
      <c r="A429" s="19">
        <f>IF(B429="","",ROW()-4)</f>
        <v/>
      </c>
      <c r="B429" s="15" t="n"/>
      <c r="C429" s="20">
        <f>IF(B429="","",IFERROR(VLOOKUP(B429,'📦产品库'!$B$4:$D$9999,2,0),"⚠️未找到"))</f>
        <v/>
      </c>
      <c r="D429" s="21">
        <f>IF(B429="","",IFERROR(VLOOKUP(B429,'📦产品库'!$B$4:$E$9999,4,0),""))</f>
        <v/>
      </c>
      <c r="E429" s="21">
        <f>IF(B429="","",IFERROR(VLOOKUP(B429,'📦产品库'!$B$4:$F$9999,5,0),""))</f>
        <v/>
      </c>
      <c r="F429" s="22">
        <f>IF(B429="","",IFERROR(VLOOKUP(B429,'📦产品库'!$B$4:$G$9999,6,0),""))</f>
        <v/>
      </c>
      <c r="G429" s="16" t="n"/>
      <c r="H429" s="23">
        <f>IF(B429="","",1)</f>
        <v/>
      </c>
      <c r="I429" s="17">
        <f>IF(B429="","",IF(G429&lt;&gt;"",G429*H429,F429*H429))</f>
        <v/>
      </c>
      <c r="J429" s="24" t="n"/>
      <c r="K429" s="18">
        <f>IF(B429="","",IF(G429&gt;=2000,20,IF(G429&gt;=1000,10,0)))</f>
        <v/>
      </c>
      <c r="L429" s="25" t="n"/>
    </row>
    <row r="430" ht="18" customHeight="1">
      <c r="A430" s="26">
        <f>IF(B430="","",ROW()-4)</f>
        <v/>
      </c>
      <c r="B430" s="15" t="n"/>
      <c r="C430" s="20">
        <f>IF(B430="","",IFERROR(VLOOKUP(B430,'📦产品库'!$B$4:$D$9999,2,0),"⚠️未找到"))</f>
        <v/>
      </c>
      <c r="D430" s="21">
        <f>IF(B430="","",IFERROR(VLOOKUP(B430,'📦产品库'!$B$4:$E$9999,4,0),""))</f>
        <v/>
      </c>
      <c r="E430" s="21">
        <f>IF(B430="","",IFERROR(VLOOKUP(B430,'📦产品库'!$B$4:$F$9999,5,0),""))</f>
        <v/>
      </c>
      <c r="F430" s="22">
        <f>IF(B430="","",IFERROR(VLOOKUP(B430,'📦产品库'!$B$4:$G$9999,6,0),""))</f>
        <v/>
      </c>
      <c r="G430" s="16" t="n"/>
      <c r="H430" s="23">
        <f>IF(B430="","",1)</f>
        <v/>
      </c>
      <c r="I430" s="17">
        <f>IF(B430="","",IF(G430&lt;&gt;"",G430*H430,F430*H430))</f>
        <v/>
      </c>
      <c r="J430" s="24" t="n"/>
      <c r="K430" s="18">
        <f>IF(B430="","",IF(G430&gt;=2000,20,IF(G430&gt;=1000,10,0)))</f>
        <v/>
      </c>
      <c r="L430" s="27" t="n"/>
    </row>
    <row r="431" ht="18" customHeight="1">
      <c r="A431" s="19">
        <f>IF(B431="","",ROW()-4)</f>
        <v/>
      </c>
      <c r="B431" s="15" t="n"/>
      <c r="C431" s="20">
        <f>IF(B431="","",IFERROR(VLOOKUP(B431,'📦产品库'!$B$4:$D$9999,2,0),"⚠️未找到"))</f>
        <v/>
      </c>
      <c r="D431" s="21">
        <f>IF(B431="","",IFERROR(VLOOKUP(B431,'📦产品库'!$B$4:$E$9999,4,0),""))</f>
        <v/>
      </c>
      <c r="E431" s="21">
        <f>IF(B431="","",IFERROR(VLOOKUP(B431,'📦产品库'!$B$4:$F$9999,5,0),""))</f>
        <v/>
      </c>
      <c r="F431" s="22">
        <f>IF(B431="","",IFERROR(VLOOKUP(B431,'📦产品库'!$B$4:$G$9999,6,0),""))</f>
        <v/>
      </c>
      <c r="G431" s="16" t="n"/>
      <c r="H431" s="23">
        <f>IF(B431="","",1)</f>
        <v/>
      </c>
      <c r="I431" s="17">
        <f>IF(B431="","",IF(G431&lt;&gt;"",G431*H431,F431*H431))</f>
        <v/>
      </c>
      <c r="J431" s="24" t="n"/>
      <c r="K431" s="18">
        <f>IF(B431="","",IF(G431&gt;=2000,20,IF(G431&gt;=1000,10,0)))</f>
        <v/>
      </c>
      <c r="L431" s="25" t="n"/>
    </row>
    <row r="432" ht="18" customHeight="1">
      <c r="A432" s="26">
        <f>IF(B432="","",ROW()-4)</f>
        <v/>
      </c>
      <c r="B432" s="15" t="n"/>
      <c r="C432" s="20">
        <f>IF(B432="","",IFERROR(VLOOKUP(B432,'📦产品库'!$B$4:$D$9999,2,0),"⚠️未找到"))</f>
        <v/>
      </c>
      <c r="D432" s="21">
        <f>IF(B432="","",IFERROR(VLOOKUP(B432,'📦产品库'!$B$4:$E$9999,4,0),""))</f>
        <v/>
      </c>
      <c r="E432" s="21">
        <f>IF(B432="","",IFERROR(VLOOKUP(B432,'📦产品库'!$B$4:$F$9999,5,0),""))</f>
        <v/>
      </c>
      <c r="F432" s="22">
        <f>IF(B432="","",IFERROR(VLOOKUP(B432,'📦产品库'!$B$4:$G$9999,6,0),""))</f>
        <v/>
      </c>
      <c r="G432" s="16" t="n"/>
      <c r="H432" s="23">
        <f>IF(B432="","",1)</f>
        <v/>
      </c>
      <c r="I432" s="17">
        <f>IF(B432="","",IF(G432&lt;&gt;"",G432*H432,F432*H432))</f>
        <v/>
      </c>
      <c r="J432" s="24" t="n"/>
      <c r="K432" s="18">
        <f>IF(B432="","",IF(G432&gt;=2000,20,IF(G432&gt;=1000,10,0)))</f>
        <v/>
      </c>
      <c r="L432" s="27" t="n"/>
    </row>
    <row r="433" ht="18" customHeight="1">
      <c r="A433" s="19">
        <f>IF(B433="","",ROW()-4)</f>
        <v/>
      </c>
      <c r="B433" s="15" t="n"/>
      <c r="C433" s="20">
        <f>IF(B433="","",IFERROR(VLOOKUP(B433,'📦产品库'!$B$4:$D$9999,2,0),"⚠️未找到"))</f>
        <v/>
      </c>
      <c r="D433" s="21">
        <f>IF(B433="","",IFERROR(VLOOKUP(B433,'📦产品库'!$B$4:$E$9999,4,0),""))</f>
        <v/>
      </c>
      <c r="E433" s="21">
        <f>IF(B433="","",IFERROR(VLOOKUP(B433,'📦产品库'!$B$4:$F$9999,5,0),""))</f>
        <v/>
      </c>
      <c r="F433" s="22">
        <f>IF(B433="","",IFERROR(VLOOKUP(B433,'📦产品库'!$B$4:$G$9999,6,0),""))</f>
        <v/>
      </c>
      <c r="G433" s="16" t="n"/>
      <c r="H433" s="23">
        <f>IF(B433="","",1)</f>
        <v/>
      </c>
      <c r="I433" s="17">
        <f>IF(B433="","",IF(G433&lt;&gt;"",G433*H433,F433*H433))</f>
        <v/>
      </c>
      <c r="J433" s="24" t="n"/>
      <c r="K433" s="18">
        <f>IF(B433="","",IF(G433&gt;=2000,20,IF(G433&gt;=1000,10,0)))</f>
        <v/>
      </c>
      <c r="L433" s="25" t="n"/>
    </row>
    <row r="434" ht="18" customHeight="1">
      <c r="A434" s="26">
        <f>IF(B434="","",ROW()-4)</f>
        <v/>
      </c>
      <c r="B434" s="15" t="n"/>
      <c r="C434" s="20">
        <f>IF(B434="","",IFERROR(VLOOKUP(B434,'📦产品库'!$B$4:$D$9999,2,0),"⚠️未找到"))</f>
        <v/>
      </c>
      <c r="D434" s="21">
        <f>IF(B434="","",IFERROR(VLOOKUP(B434,'📦产品库'!$B$4:$E$9999,4,0),""))</f>
        <v/>
      </c>
      <c r="E434" s="21">
        <f>IF(B434="","",IFERROR(VLOOKUP(B434,'📦产品库'!$B$4:$F$9999,5,0),""))</f>
        <v/>
      </c>
      <c r="F434" s="22">
        <f>IF(B434="","",IFERROR(VLOOKUP(B434,'📦产品库'!$B$4:$G$9999,6,0),""))</f>
        <v/>
      </c>
      <c r="G434" s="16" t="n"/>
      <c r="H434" s="23">
        <f>IF(B434="","",1)</f>
        <v/>
      </c>
      <c r="I434" s="17">
        <f>IF(B434="","",IF(G434&lt;&gt;"",G434*H434,F434*H434))</f>
        <v/>
      </c>
      <c r="J434" s="24" t="n"/>
      <c r="K434" s="18">
        <f>IF(B434="","",IF(G434&gt;=2000,20,IF(G434&gt;=1000,10,0)))</f>
        <v/>
      </c>
      <c r="L434" s="27" t="n"/>
    </row>
    <row r="435" ht="18" customHeight="1">
      <c r="A435" s="19">
        <f>IF(B435="","",ROW()-4)</f>
        <v/>
      </c>
      <c r="B435" s="15" t="n"/>
      <c r="C435" s="20">
        <f>IF(B435="","",IFERROR(VLOOKUP(B435,'📦产品库'!$B$4:$D$9999,2,0),"⚠️未找到"))</f>
        <v/>
      </c>
      <c r="D435" s="21">
        <f>IF(B435="","",IFERROR(VLOOKUP(B435,'📦产品库'!$B$4:$E$9999,4,0),""))</f>
        <v/>
      </c>
      <c r="E435" s="21">
        <f>IF(B435="","",IFERROR(VLOOKUP(B435,'📦产品库'!$B$4:$F$9999,5,0),""))</f>
        <v/>
      </c>
      <c r="F435" s="22">
        <f>IF(B435="","",IFERROR(VLOOKUP(B435,'📦产品库'!$B$4:$G$9999,6,0),""))</f>
        <v/>
      </c>
      <c r="G435" s="16" t="n"/>
      <c r="H435" s="23">
        <f>IF(B435="","",1)</f>
        <v/>
      </c>
      <c r="I435" s="17">
        <f>IF(B435="","",IF(G435&lt;&gt;"",G435*H435,F435*H435))</f>
        <v/>
      </c>
      <c r="J435" s="24" t="n"/>
      <c r="K435" s="18">
        <f>IF(B435="","",IF(G435&gt;=2000,20,IF(G435&gt;=1000,10,0)))</f>
        <v/>
      </c>
      <c r="L435" s="25" t="n"/>
    </row>
    <row r="436" ht="18" customHeight="1">
      <c r="A436" s="26">
        <f>IF(B436="","",ROW()-4)</f>
        <v/>
      </c>
      <c r="B436" s="15" t="n"/>
      <c r="C436" s="20">
        <f>IF(B436="","",IFERROR(VLOOKUP(B436,'📦产品库'!$B$4:$D$9999,2,0),"⚠️未找到"))</f>
        <v/>
      </c>
      <c r="D436" s="21">
        <f>IF(B436="","",IFERROR(VLOOKUP(B436,'📦产品库'!$B$4:$E$9999,4,0),""))</f>
        <v/>
      </c>
      <c r="E436" s="21">
        <f>IF(B436="","",IFERROR(VLOOKUP(B436,'📦产品库'!$B$4:$F$9999,5,0),""))</f>
        <v/>
      </c>
      <c r="F436" s="22">
        <f>IF(B436="","",IFERROR(VLOOKUP(B436,'📦产品库'!$B$4:$G$9999,6,0),""))</f>
        <v/>
      </c>
      <c r="G436" s="16" t="n"/>
      <c r="H436" s="23">
        <f>IF(B436="","",1)</f>
        <v/>
      </c>
      <c r="I436" s="17">
        <f>IF(B436="","",IF(G436&lt;&gt;"",G436*H436,F436*H436))</f>
        <v/>
      </c>
      <c r="J436" s="24" t="n"/>
      <c r="K436" s="18">
        <f>IF(B436="","",IF(G436&gt;=2000,20,IF(G436&gt;=1000,10,0)))</f>
        <v/>
      </c>
      <c r="L436" s="27" t="n"/>
    </row>
    <row r="437" ht="18" customHeight="1">
      <c r="A437" s="19">
        <f>IF(B437="","",ROW()-4)</f>
        <v/>
      </c>
      <c r="B437" s="15" t="n"/>
      <c r="C437" s="20">
        <f>IF(B437="","",IFERROR(VLOOKUP(B437,'📦产品库'!$B$4:$D$9999,2,0),"⚠️未找到"))</f>
        <v/>
      </c>
      <c r="D437" s="21">
        <f>IF(B437="","",IFERROR(VLOOKUP(B437,'📦产品库'!$B$4:$E$9999,4,0),""))</f>
        <v/>
      </c>
      <c r="E437" s="21">
        <f>IF(B437="","",IFERROR(VLOOKUP(B437,'📦产品库'!$B$4:$F$9999,5,0),""))</f>
        <v/>
      </c>
      <c r="F437" s="22">
        <f>IF(B437="","",IFERROR(VLOOKUP(B437,'📦产品库'!$B$4:$G$9999,6,0),""))</f>
        <v/>
      </c>
      <c r="G437" s="16" t="n"/>
      <c r="H437" s="23">
        <f>IF(B437="","",1)</f>
        <v/>
      </c>
      <c r="I437" s="17">
        <f>IF(B437="","",IF(G437&lt;&gt;"",G437*H437,F437*H437))</f>
        <v/>
      </c>
      <c r="J437" s="24" t="n"/>
      <c r="K437" s="18">
        <f>IF(B437="","",IF(G437&gt;=2000,20,IF(G437&gt;=1000,10,0)))</f>
        <v/>
      </c>
      <c r="L437" s="25" t="n"/>
    </row>
    <row r="438" ht="18" customHeight="1">
      <c r="A438" s="26">
        <f>IF(B438="","",ROW()-4)</f>
        <v/>
      </c>
      <c r="B438" s="15" t="n"/>
      <c r="C438" s="20">
        <f>IF(B438="","",IFERROR(VLOOKUP(B438,'📦产品库'!$B$4:$D$9999,2,0),"⚠️未找到"))</f>
        <v/>
      </c>
      <c r="D438" s="21">
        <f>IF(B438="","",IFERROR(VLOOKUP(B438,'📦产品库'!$B$4:$E$9999,4,0),""))</f>
        <v/>
      </c>
      <c r="E438" s="21">
        <f>IF(B438="","",IFERROR(VLOOKUP(B438,'📦产品库'!$B$4:$F$9999,5,0),""))</f>
        <v/>
      </c>
      <c r="F438" s="22">
        <f>IF(B438="","",IFERROR(VLOOKUP(B438,'📦产品库'!$B$4:$G$9999,6,0),""))</f>
        <v/>
      </c>
      <c r="G438" s="16" t="n"/>
      <c r="H438" s="23">
        <f>IF(B438="","",1)</f>
        <v/>
      </c>
      <c r="I438" s="17">
        <f>IF(B438="","",IF(G438&lt;&gt;"",G438*H438,F438*H438))</f>
        <v/>
      </c>
      <c r="J438" s="24" t="n"/>
      <c r="K438" s="18">
        <f>IF(B438="","",IF(G438&gt;=2000,20,IF(G438&gt;=1000,10,0)))</f>
        <v/>
      </c>
      <c r="L438" s="27" t="n"/>
    </row>
    <row r="439" ht="18" customHeight="1">
      <c r="A439" s="19">
        <f>IF(B439="","",ROW()-4)</f>
        <v/>
      </c>
      <c r="B439" s="15" t="n"/>
      <c r="C439" s="20">
        <f>IF(B439="","",IFERROR(VLOOKUP(B439,'📦产品库'!$B$4:$D$9999,2,0),"⚠️未找到"))</f>
        <v/>
      </c>
      <c r="D439" s="21">
        <f>IF(B439="","",IFERROR(VLOOKUP(B439,'📦产品库'!$B$4:$E$9999,4,0),""))</f>
        <v/>
      </c>
      <c r="E439" s="21">
        <f>IF(B439="","",IFERROR(VLOOKUP(B439,'📦产品库'!$B$4:$F$9999,5,0),""))</f>
        <v/>
      </c>
      <c r="F439" s="22">
        <f>IF(B439="","",IFERROR(VLOOKUP(B439,'📦产品库'!$B$4:$G$9999,6,0),""))</f>
        <v/>
      </c>
      <c r="G439" s="16" t="n"/>
      <c r="H439" s="23">
        <f>IF(B439="","",1)</f>
        <v/>
      </c>
      <c r="I439" s="17">
        <f>IF(B439="","",IF(G439&lt;&gt;"",G439*H439,F439*H439))</f>
        <v/>
      </c>
      <c r="J439" s="24" t="n"/>
      <c r="K439" s="18">
        <f>IF(B439="","",IF(G439&gt;=2000,20,IF(G439&gt;=1000,10,0)))</f>
        <v/>
      </c>
      <c r="L439" s="25" t="n"/>
    </row>
    <row r="440" ht="18" customHeight="1">
      <c r="A440" s="26">
        <f>IF(B440="","",ROW()-4)</f>
        <v/>
      </c>
      <c r="B440" s="15" t="n"/>
      <c r="C440" s="20">
        <f>IF(B440="","",IFERROR(VLOOKUP(B440,'📦产品库'!$B$4:$D$9999,2,0),"⚠️未找到"))</f>
        <v/>
      </c>
      <c r="D440" s="21">
        <f>IF(B440="","",IFERROR(VLOOKUP(B440,'📦产品库'!$B$4:$E$9999,4,0),""))</f>
        <v/>
      </c>
      <c r="E440" s="21">
        <f>IF(B440="","",IFERROR(VLOOKUP(B440,'📦产品库'!$B$4:$F$9999,5,0),""))</f>
        <v/>
      </c>
      <c r="F440" s="22">
        <f>IF(B440="","",IFERROR(VLOOKUP(B440,'📦产品库'!$B$4:$G$9999,6,0),""))</f>
        <v/>
      </c>
      <c r="G440" s="16" t="n"/>
      <c r="H440" s="23">
        <f>IF(B440="","",1)</f>
        <v/>
      </c>
      <c r="I440" s="17">
        <f>IF(B440="","",IF(G440&lt;&gt;"",G440*H440,F440*H440))</f>
        <v/>
      </c>
      <c r="J440" s="24" t="n"/>
      <c r="K440" s="18">
        <f>IF(B440="","",IF(G440&gt;=2000,20,IF(G440&gt;=1000,10,0)))</f>
        <v/>
      </c>
      <c r="L440" s="27" t="n"/>
    </row>
    <row r="441" ht="18" customHeight="1">
      <c r="A441" s="19">
        <f>IF(B441="","",ROW()-4)</f>
        <v/>
      </c>
      <c r="B441" s="15" t="n"/>
      <c r="C441" s="20">
        <f>IF(B441="","",IFERROR(VLOOKUP(B441,'📦产品库'!$B$4:$D$9999,2,0),"⚠️未找到"))</f>
        <v/>
      </c>
      <c r="D441" s="21">
        <f>IF(B441="","",IFERROR(VLOOKUP(B441,'📦产品库'!$B$4:$E$9999,4,0),""))</f>
        <v/>
      </c>
      <c r="E441" s="21">
        <f>IF(B441="","",IFERROR(VLOOKUP(B441,'📦产品库'!$B$4:$F$9999,5,0),""))</f>
        <v/>
      </c>
      <c r="F441" s="22">
        <f>IF(B441="","",IFERROR(VLOOKUP(B441,'📦产品库'!$B$4:$G$9999,6,0),""))</f>
        <v/>
      </c>
      <c r="G441" s="16" t="n"/>
      <c r="H441" s="23">
        <f>IF(B441="","",1)</f>
        <v/>
      </c>
      <c r="I441" s="17">
        <f>IF(B441="","",IF(G441&lt;&gt;"",G441*H441,F441*H441))</f>
        <v/>
      </c>
      <c r="J441" s="24" t="n"/>
      <c r="K441" s="18">
        <f>IF(B441="","",IF(G441&gt;=2000,20,IF(G441&gt;=1000,10,0)))</f>
        <v/>
      </c>
      <c r="L441" s="25" t="n"/>
    </row>
    <row r="442" ht="18" customHeight="1">
      <c r="A442" s="26">
        <f>IF(B442="","",ROW()-4)</f>
        <v/>
      </c>
      <c r="B442" s="15" t="n"/>
      <c r="C442" s="20">
        <f>IF(B442="","",IFERROR(VLOOKUP(B442,'📦产品库'!$B$4:$D$9999,2,0),"⚠️未找到"))</f>
        <v/>
      </c>
      <c r="D442" s="21">
        <f>IF(B442="","",IFERROR(VLOOKUP(B442,'📦产品库'!$B$4:$E$9999,4,0),""))</f>
        <v/>
      </c>
      <c r="E442" s="21">
        <f>IF(B442="","",IFERROR(VLOOKUP(B442,'📦产品库'!$B$4:$F$9999,5,0),""))</f>
        <v/>
      </c>
      <c r="F442" s="22">
        <f>IF(B442="","",IFERROR(VLOOKUP(B442,'📦产品库'!$B$4:$G$9999,6,0),""))</f>
        <v/>
      </c>
      <c r="G442" s="16" t="n"/>
      <c r="H442" s="23">
        <f>IF(B442="","",1)</f>
        <v/>
      </c>
      <c r="I442" s="17">
        <f>IF(B442="","",IF(G442&lt;&gt;"",G442*H442,F442*H442))</f>
        <v/>
      </c>
      <c r="J442" s="24" t="n"/>
      <c r="K442" s="18">
        <f>IF(B442="","",IF(G442&gt;=2000,20,IF(G442&gt;=1000,10,0)))</f>
        <v/>
      </c>
      <c r="L442" s="27" t="n"/>
    </row>
    <row r="443" ht="18" customHeight="1">
      <c r="A443" s="19">
        <f>IF(B443="","",ROW()-4)</f>
        <v/>
      </c>
      <c r="B443" s="15" t="n"/>
      <c r="C443" s="20">
        <f>IF(B443="","",IFERROR(VLOOKUP(B443,'📦产品库'!$B$4:$D$9999,2,0),"⚠️未找到"))</f>
        <v/>
      </c>
      <c r="D443" s="21">
        <f>IF(B443="","",IFERROR(VLOOKUP(B443,'📦产品库'!$B$4:$E$9999,4,0),""))</f>
        <v/>
      </c>
      <c r="E443" s="21">
        <f>IF(B443="","",IFERROR(VLOOKUP(B443,'📦产品库'!$B$4:$F$9999,5,0),""))</f>
        <v/>
      </c>
      <c r="F443" s="22">
        <f>IF(B443="","",IFERROR(VLOOKUP(B443,'📦产品库'!$B$4:$G$9999,6,0),""))</f>
        <v/>
      </c>
      <c r="G443" s="16" t="n"/>
      <c r="H443" s="23">
        <f>IF(B443="","",1)</f>
        <v/>
      </c>
      <c r="I443" s="17">
        <f>IF(B443="","",IF(G443&lt;&gt;"",G443*H443,F443*H443))</f>
        <v/>
      </c>
      <c r="J443" s="24" t="n"/>
      <c r="K443" s="18">
        <f>IF(B443="","",IF(G443&gt;=2000,20,IF(G443&gt;=1000,10,0)))</f>
        <v/>
      </c>
      <c r="L443" s="25" t="n"/>
    </row>
    <row r="444" ht="18" customHeight="1">
      <c r="A444" s="26">
        <f>IF(B444="","",ROW()-4)</f>
        <v/>
      </c>
      <c r="B444" s="15" t="n"/>
      <c r="C444" s="20">
        <f>IF(B444="","",IFERROR(VLOOKUP(B444,'📦产品库'!$B$4:$D$9999,2,0),"⚠️未找到"))</f>
        <v/>
      </c>
      <c r="D444" s="21">
        <f>IF(B444="","",IFERROR(VLOOKUP(B444,'📦产品库'!$B$4:$E$9999,4,0),""))</f>
        <v/>
      </c>
      <c r="E444" s="21">
        <f>IF(B444="","",IFERROR(VLOOKUP(B444,'📦产品库'!$B$4:$F$9999,5,0),""))</f>
        <v/>
      </c>
      <c r="F444" s="22">
        <f>IF(B444="","",IFERROR(VLOOKUP(B444,'📦产品库'!$B$4:$G$9999,6,0),""))</f>
        <v/>
      </c>
      <c r="G444" s="16" t="n"/>
      <c r="H444" s="23">
        <f>IF(B444="","",1)</f>
        <v/>
      </c>
      <c r="I444" s="17">
        <f>IF(B444="","",IF(G444&lt;&gt;"",G444*H444,F444*H444))</f>
        <v/>
      </c>
      <c r="J444" s="24" t="n"/>
      <c r="K444" s="18">
        <f>IF(B444="","",IF(G444&gt;=2000,20,IF(G444&gt;=1000,10,0)))</f>
        <v/>
      </c>
      <c r="L444" s="27" t="n"/>
    </row>
    <row r="445" ht="18" customHeight="1">
      <c r="A445" s="19">
        <f>IF(B445="","",ROW()-4)</f>
        <v/>
      </c>
      <c r="B445" s="15" t="n"/>
      <c r="C445" s="20">
        <f>IF(B445="","",IFERROR(VLOOKUP(B445,'📦产品库'!$B$4:$D$9999,2,0),"⚠️未找到"))</f>
        <v/>
      </c>
      <c r="D445" s="21">
        <f>IF(B445="","",IFERROR(VLOOKUP(B445,'📦产品库'!$B$4:$E$9999,4,0),""))</f>
        <v/>
      </c>
      <c r="E445" s="21">
        <f>IF(B445="","",IFERROR(VLOOKUP(B445,'📦产品库'!$B$4:$F$9999,5,0),""))</f>
        <v/>
      </c>
      <c r="F445" s="22">
        <f>IF(B445="","",IFERROR(VLOOKUP(B445,'📦产品库'!$B$4:$G$9999,6,0),""))</f>
        <v/>
      </c>
      <c r="G445" s="16" t="n"/>
      <c r="H445" s="23">
        <f>IF(B445="","",1)</f>
        <v/>
      </c>
      <c r="I445" s="17">
        <f>IF(B445="","",IF(G445&lt;&gt;"",G445*H445,F445*H445))</f>
        <v/>
      </c>
      <c r="J445" s="24" t="n"/>
      <c r="K445" s="18">
        <f>IF(B445="","",IF(G445&gt;=2000,20,IF(G445&gt;=1000,10,0)))</f>
        <v/>
      </c>
      <c r="L445" s="25" t="n"/>
    </row>
    <row r="446" ht="18" customHeight="1">
      <c r="A446" s="26">
        <f>IF(B446="","",ROW()-4)</f>
        <v/>
      </c>
      <c r="B446" s="15" t="n"/>
      <c r="C446" s="20">
        <f>IF(B446="","",IFERROR(VLOOKUP(B446,'📦产品库'!$B$4:$D$9999,2,0),"⚠️未找到"))</f>
        <v/>
      </c>
      <c r="D446" s="21">
        <f>IF(B446="","",IFERROR(VLOOKUP(B446,'📦产品库'!$B$4:$E$9999,4,0),""))</f>
        <v/>
      </c>
      <c r="E446" s="21">
        <f>IF(B446="","",IFERROR(VLOOKUP(B446,'📦产品库'!$B$4:$F$9999,5,0),""))</f>
        <v/>
      </c>
      <c r="F446" s="22">
        <f>IF(B446="","",IFERROR(VLOOKUP(B446,'📦产品库'!$B$4:$G$9999,6,0),""))</f>
        <v/>
      </c>
      <c r="G446" s="16" t="n"/>
      <c r="H446" s="23">
        <f>IF(B446="","",1)</f>
        <v/>
      </c>
      <c r="I446" s="17">
        <f>IF(B446="","",IF(G446&lt;&gt;"",G446*H446,F446*H446))</f>
        <v/>
      </c>
      <c r="J446" s="24" t="n"/>
      <c r="K446" s="18">
        <f>IF(B446="","",IF(G446&gt;=2000,20,IF(G446&gt;=1000,10,0)))</f>
        <v/>
      </c>
      <c r="L446" s="27" t="n"/>
    </row>
    <row r="447" ht="18" customHeight="1">
      <c r="A447" s="19">
        <f>IF(B447="","",ROW()-4)</f>
        <v/>
      </c>
      <c r="B447" s="15" t="n"/>
      <c r="C447" s="20">
        <f>IF(B447="","",IFERROR(VLOOKUP(B447,'📦产品库'!$B$4:$D$9999,2,0),"⚠️未找到"))</f>
        <v/>
      </c>
      <c r="D447" s="21">
        <f>IF(B447="","",IFERROR(VLOOKUP(B447,'📦产品库'!$B$4:$E$9999,4,0),""))</f>
        <v/>
      </c>
      <c r="E447" s="21">
        <f>IF(B447="","",IFERROR(VLOOKUP(B447,'📦产品库'!$B$4:$F$9999,5,0),""))</f>
        <v/>
      </c>
      <c r="F447" s="22">
        <f>IF(B447="","",IFERROR(VLOOKUP(B447,'📦产品库'!$B$4:$G$9999,6,0),""))</f>
        <v/>
      </c>
      <c r="G447" s="16" t="n"/>
      <c r="H447" s="23">
        <f>IF(B447="","",1)</f>
        <v/>
      </c>
      <c r="I447" s="17">
        <f>IF(B447="","",IF(G447&lt;&gt;"",G447*H447,F447*H447))</f>
        <v/>
      </c>
      <c r="J447" s="24" t="n"/>
      <c r="K447" s="18">
        <f>IF(B447="","",IF(G447&gt;=2000,20,IF(G447&gt;=1000,10,0)))</f>
        <v/>
      </c>
      <c r="L447" s="25" t="n"/>
    </row>
    <row r="448" ht="18" customHeight="1">
      <c r="A448" s="26">
        <f>IF(B448="","",ROW()-4)</f>
        <v/>
      </c>
      <c r="B448" s="15" t="n"/>
      <c r="C448" s="20">
        <f>IF(B448="","",IFERROR(VLOOKUP(B448,'📦产品库'!$B$4:$D$9999,2,0),"⚠️未找到"))</f>
        <v/>
      </c>
      <c r="D448" s="21">
        <f>IF(B448="","",IFERROR(VLOOKUP(B448,'📦产品库'!$B$4:$E$9999,4,0),""))</f>
        <v/>
      </c>
      <c r="E448" s="21">
        <f>IF(B448="","",IFERROR(VLOOKUP(B448,'📦产品库'!$B$4:$F$9999,5,0),""))</f>
        <v/>
      </c>
      <c r="F448" s="22">
        <f>IF(B448="","",IFERROR(VLOOKUP(B448,'📦产品库'!$B$4:$G$9999,6,0),""))</f>
        <v/>
      </c>
      <c r="G448" s="16" t="n"/>
      <c r="H448" s="23">
        <f>IF(B448="","",1)</f>
        <v/>
      </c>
      <c r="I448" s="17">
        <f>IF(B448="","",IF(G448&lt;&gt;"",G448*H448,F448*H448))</f>
        <v/>
      </c>
      <c r="J448" s="24" t="n"/>
      <c r="K448" s="18">
        <f>IF(B448="","",IF(G448&gt;=2000,20,IF(G448&gt;=1000,10,0)))</f>
        <v/>
      </c>
      <c r="L448" s="27" t="n"/>
    </row>
    <row r="449" ht="18" customHeight="1">
      <c r="A449" s="19">
        <f>IF(B449="","",ROW()-4)</f>
        <v/>
      </c>
      <c r="B449" s="15" t="n"/>
      <c r="C449" s="20">
        <f>IF(B449="","",IFERROR(VLOOKUP(B449,'📦产品库'!$B$4:$D$9999,2,0),"⚠️未找到"))</f>
        <v/>
      </c>
      <c r="D449" s="21">
        <f>IF(B449="","",IFERROR(VLOOKUP(B449,'📦产品库'!$B$4:$E$9999,4,0),""))</f>
        <v/>
      </c>
      <c r="E449" s="21">
        <f>IF(B449="","",IFERROR(VLOOKUP(B449,'📦产品库'!$B$4:$F$9999,5,0),""))</f>
        <v/>
      </c>
      <c r="F449" s="22">
        <f>IF(B449="","",IFERROR(VLOOKUP(B449,'📦产品库'!$B$4:$G$9999,6,0),""))</f>
        <v/>
      </c>
      <c r="G449" s="16" t="n"/>
      <c r="H449" s="23">
        <f>IF(B449="","",1)</f>
        <v/>
      </c>
      <c r="I449" s="17">
        <f>IF(B449="","",IF(G449&lt;&gt;"",G449*H449,F449*H449))</f>
        <v/>
      </c>
      <c r="J449" s="24" t="n"/>
      <c r="K449" s="18">
        <f>IF(B449="","",IF(G449&gt;=2000,20,IF(G449&gt;=1000,10,0)))</f>
        <v/>
      </c>
      <c r="L449" s="25" t="n"/>
    </row>
    <row r="450" ht="18" customHeight="1">
      <c r="A450" s="26">
        <f>IF(B450="","",ROW()-4)</f>
        <v/>
      </c>
      <c r="B450" s="15" t="n"/>
      <c r="C450" s="20">
        <f>IF(B450="","",IFERROR(VLOOKUP(B450,'📦产品库'!$B$4:$D$9999,2,0),"⚠️未找到"))</f>
        <v/>
      </c>
      <c r="D450" s="21">
        <f>IF(B450="","",IFERROR(VLOOKUP(B450,'📦产品库'!$B$4:$E$9999,4,0),""))</f>
        <v/>
      </c>
      <c r="E450" s="21">
        <f>IF(B450="","",IFERROR(VLOOKUP(B450,'📦产品库'!$B$4:$F$9999,5,0),""))</f>
        <v/>
      </c>
      <c r="F450" s="22">
        <f>IF(B450="","",IFERROR(VLOOKUP(B450,'📦产品库'!$B$4:$G$9999,6,0),""))</f>
        <v/>
      </c>
      <c r="G450" s="16" t="n"/>
      <c r="H450" s="23">
        <f>IF(B450="","",1)</f>
        <v/>
      </c>
      <c r="I450" s="17">
        <f>IF(B450="","",IF(G450&lt;&gt;"",G450*H450,F450*H450))</f>
        <v/>
      </c>
      <c r="J450" s="24" t="n"/>
      <c r="K450" s="18">
        <f>IF(B450="","",IF(G450&gt;=2000,20,IF(G450&gt;=1000,10,0)))</f>
        <v/>
      </c>
      <c r="L450" s="27" t="n"/>
    </row>
    <row r="451" ht="18" customHeight="1">
      <c r="A451" s="19">
        <f>IF(B451="","",ROW()-4)</f>
        <v/>
      </c>
      <c r="B451" s="15" t="n"/>
      <c r="C451" s="20">
        <f>IF(B451="","",IFERROR(VLOOKUP(B451,'📦产品库'!$B$4:$D$9999,2,0),"⚠️未找到"))</f>
        <v/>
      </c>
      <c r="D451" s="21">
        <f>IF(B451="","",IFERROR(VLOOKUP(B451,'📦产品库'!$B$4:$E$9999,4,0),""))</f>
        <v/>
      </c>
      <c r="E451" s="21">
        <f>IF(B451="","",IFERROR(VLOOKUP(B451,'📦产品库'!$B$4:$F$9999,5,0),""))</f>
        <v/>
      </c>
      <c r="F451" s="22">
        <f>IF(B451="","",IFERROR(VLOOKUP(B451,'📦产品库'!$B$4:$G$9999,6,0),""))</f>
        <v/>
      </c>
      <c r="G451" s="16" t="n"/>
      <c r="H451" s="23">
        <f>IF(B451="","",1)</f>
        <v/>
      </c>
      <c r="I451" s="17">
        <f>IF(B451="","",IF(G451&lt;&gt;"",G451*H451,F451*H451))</f>
        <v/>
      </c>
      <c r="J451" s="24" t="n"/>
      <c r="K451" s="18">
        <f>IF(B451="","",IF(G451&gt;=2000,20,IF(G451&gt;=1000,10,0)))</f>
        <v/>
      </c>
      <c r="L451" s="25" t="n"/>
    </row>
    <row r="452" ht="18" customHeight="1">
      <c r="A452" s="26">
        <f>IF(B452="","",ROW()-4)</f>
        <v/>
      </c>
      <c r="B452" s="15" t="n"/>
      <c r="C452" s="20">
        <f>IF(B452="","",IFERROR(VLOOKUP(B452,'📦产品库'!$B$4:$D$9999,2,0),"⚠️未找到"))</f>
        <v/>
      </c>
      <c r="D452" s="21">
        <f>IF(B452="","",IFERROR(VLOOKUP(B452,'📦产品库'!$B$4:$E$9999,4,0),""))</f>
        <v/>
      </c>
      <c r="E452" s="21">
        <f>IF(B452="","",IFERROR(VLOOKUP(B452,'📦产品库'!$B$4:$F$9999,5,0),""))</f>
        <v/>
      </c>
      <c r="F452" s="22">
        <f>IF(B452="","",IFERROR(VLOOKUP(B452,'📦产品库'!$B$4:$G$9999,6,0),""))</f>
        <v/>
      </c>
      <c r="G452" s="16" t="n"/>
      <c r="H452" s="23">
        <f>IF(B452="","",1)</f>
        <v/>
      </c>
      <c r="I452" s="17">
        <f>IF(B452="","",IF(G452&lt;&gt;"",G452*H452,F452*H452))</f>
        <v/>
      </c>
      <c r="J452" s="24" t="n"/>
      <c r="K452" s="18">
        <f>IF(B452="","",IF(G452&gt;=2000,20,IF(G452&gt;=1000,10,0)))</f>
        <v/>
      </c>
      <c r="L452" s="27" t="n"/>
    </row>
    <row r="453" ht="18" customHeight="1">
      <c r="A453" s="19">
        <f>IF(B453="","",ROW()-4)</f>
        <v/>
      </c>
      <c r="B453" s="15" t="n"/>
      <c r="C453" s="20">
        <f>IF(B453="","",IFERROR(VLOOKUP(B453,'📦产品库'!$B$4:$D$9999,2,0),"⚠️未找到"))</f>
        <v/>
      </c>
      <c r="D453" s="21">
        <f>IF(B453="","",IFERROR(VLOOKUP(B453,'📦产品库'!$B$4:$E$9999,4,0),""))</f>
        <v/>
      </c>
      <c r="E453" s="21">
        <f>IF(B453="","",IFERROR(VLOOKUP(B453,'📦产品库'!$B$4:$F$9999,5,0),""))</f>
        <v/>
      </c>
      <c r="F453" s="22">
        <f>IF(B453="","",IFERROR(VLOOKUP(B453,'📦产品库'!$B$4:$G$9999,6,0),""))</f>
        <v/>
      </c>
      <c r="G453" s="16" t="n"/>
      <c r="H453" s="23">
        <f>IF(B453="","",1)</f>
        <v/>
      </c>
      <c r="I453" s="17">
        <f>IF(B453="","",IF(G453&lt;&gt;"",G453*H453,F453*H453))</f>
        <v/>
      </c>
      <c r="J453" s="24" t="n"/>
      <c r="K453" s="18">
        <f>IF(B453="","",IF(G453&gt;=2000,20,IF(G453&gt;=1000,10,0)))</f>
        <v/>
      </c>
      <c r="L453" s="25" t="n"/>
    </row>
    <row r="454" ht="18" customHeight="1">
      <c r="A454" s="26">
        <f>IF(B454="","",ROW()-4)</f>
        <v/>
      </c>
      <c r="B454" s="15" t="n"/>
      <c r="C454" s="20">
        <f>IF(B454="","",IFERROR(VLOOKUP(B454,'📦产品库'!$B$4:$D$9999,2,0),"⚠️未找到"))</f>
        <v/>
      </c>
      <c r="D454" s="21">
        <f>IF(B454="","",IFERROR(VLOOKUP(B454,'📦产品库'!$B$4:$E$9999,4,0),""))</f>
        <v/>
      </c>
      <c r="E454" s="21">
        <f>IF(B454="","",IFERROR(VLOOKUP(B454,'📦产品库'!$B$4:$F$9999,5,0),""))</f>
        <v/>
      </c>
      <c r="F454" s="22">
        <f>IF(B454="","",IFERROR(VLOOKUP(B454,'📦产品库'!$B$4:$G$9999,6,0),""))</f>
        <v/>
      </c>
      <c r="G454" s="16" t="n"/>
      <c r="H454" s="23">
        <f>IF(B454="","",1)</f>
        <v/>
      </c>
      <c r="I454" s="17">
        <f>IF(B454="","",IF(G454&lt;&gt;"",G454*H454,F454*H454))</f>
        <v/>
      </c>
      <c r="J454" s="24" t="n"/>
      <c r="K454" s="18">
        <f>IF(B454="","",IF(G454&gt;=2000,20,IF(G454&gt;=1000,10,0)))</f>
        <v/>
      </c>
      <c r="L454" s="27" t="n"/>
    </row>
    <row r="455" ht="18" customHeight="1">
      <c r="A455" s="19">
        <f>IF(B455="","",ROW()-4)</f>
        <v/>
      </c>
      <c r="B455" s="15" t="n"/>
      <c r="C455" s="20">
        <f>IF(B455="","",IFERROR(VLOOKUP(B455,'📦产品库'!$B$4:$D$9999,2,0),"⚠️未找到"))</f>
        <v/>
      </c>
      <c r="D455" s="21">
        <f>IF(B455="","",IFERROR(VLOOKUP(B455,'📦产品库'!$B$4:$E$9999,4,0),""))</f>
        <v/>
      </c>
      <c r="E455" s="21">
        <f>IF(B455="","",IFERROR(VLOOKUP(B455,'📦产品库'!$B$4:$F$9999,5,0),""))</f>
        <v/>
      </c>
      <c r="F455" s="22">
        <f>IF(B455="","",IFERROR(VLOOKUP(B455,'📦产品库'!$B$4:$G$9999,6,0),""))</f>
        <v/>
      </c>
      <c r="G455" s="16" t="n"/>
      <c r="H455" s="23">
        <f>IF(B455="","",1)</f>
        <v/>
      </c>
      <c r="I455" s="17">
        <f>IF(B455="","",IF(G455&lt;&gt;"",G455*H455,F455*H455))</f>
        <v/>
      </c>
      <c r="J455" s="24" t="n"/>
      <c r="K455" s="18">
        <f>IF(B455="","",IF(G455&gt;=2000,20,IF(G455&gt;=1000,10,0)))</f>
        <v/>
      </c>
      <c r="L455" s="25" t="n"/>
    </row>
    <row r="456" ht="18" customHeight="1">
      <c r="A456" s="26">
        <f>IF(B456="","",ROW()-4)</f>
        <v/>
      </c>
      <c r="B456" s="15" t="n"/>
      <c r="C456" s="20">
        <f>IF(B456="","",IFERROR(VLOOKUP(B456,'📦产品库'!$B$4:$D$9999,2,0),"⚠️未找到"))</f>
        <v/>
      </c>
      <c r="D456" s="21">
        <f>IF(B456="","",IFERROR(VLOOKUP(B456,'📦产品库'!$B$4:$E$9999,4,0),""))</f>
        <v/>
      </c>
      <c r="E456" s="21">
        <f>IF(B456="","",IFERROR(VLOOKUP(B456,'📦产品库'!$B$4:$F$9999,5,0),""))</f>
        <v/>
      </c>
      <c r="F456" s="22">
        <f>IF(B456="","",IFERROR(VLOOKUP(B456,'📦产品库'!$B$4:$G$9999,6,0),""))</f>
        <v/>
      </c>
      <c r="G456" s="16" t="n"/>
      <c r="H456" s="23">
        <f>IF(B456="","",1)</f>
        <v/>
      </c>
      <c r="I456" s="17">
        <f>IF(B456="","",IF(G456&lt;&gt;"",G456*H456,F456*H456))</f>
        <v/>
      </c>
      <c r="J456" s="24" t="n"/>
      <c r="K456" s="18">
        <f>IF(B456="","",IF(G456&gt;=2000,20,IF(G456&gt;=1000,10,0)))</f>
        <v/>
      </c>
      <c r="L456" s="27" t="n"/>
    </row>
    <row r="457" ht="18" customHeight="1">
      <c r="A457" s="19">
        <f>IF(B457="","",ROW()-4)</f>
        <v/>
      </c>
      <c r="B457" s="15" t="n"/>
      <c r="C457" s="20">
        <f>IF(B457="","",IFERROR(VLOOKUP(B457,'📦产品库'!$B$4:$D$9999,2,0),"⚠️未找到"))</f>
        <v/>
      </c>
      <c r="D457" s="21">
        <f>IF(B457="","",IFERROR(VLOOKUP(B457,'📦产品库'!$B$4:$E$9999,4,0),""))</f>
        <v/>
      </c>
      <c r="E457" s="21">
        <f>IF(B457="","",IFERROR(VLOOKUP(B457,'📦产品库'!$B$4:$F$9999,5,0),""))</f>
        <v/>
      </c>
      <c r="F457" s="22">
        <f>IF(B457="","",IFERROR(VLOOKUP(B457,'📦产品库'!$B$4:$G$9999,6,0),""))</f>
        <v/>
      </c>
      <c r="G457" s="16" t="n"/>
      <c r="H457" s="23">
        <f>IF(B457="","",1)</f>
        <v/>
      </c>
      <c r="I457" s="17">
        <f>IF(B457="","",IF(G457&lt;&gt;"",G457*H457,F457*H457))</f>
        <v/>
      </c>
      <c r="J457" s="24" t="n"/>
      <c r="K457" s="18">
        <f>IF(B457="","",IF(G457&gt;=2000,20,IF(G457&gt;=1000,10,0)))</f>
        <v/>
      </c>
      <c r="L457" s="25" t="n"/>
    </row>
    <row r="458" ht="18" customHeight="1">
      <c r="A458" s="26">
        <f>IF(B458="","",ROW()-4)</f>
        <v/>
      </c>
      <c r="B458" s="15" t="n"/>
      <c r="C458" s="20">
        <f>IF(B458="","",IFERROR(VLOOKUP(B458,'📦产品库'!$B$4:$D$9999,2,0),"⚠️未找到"))</f>
        <v/>
      </c>
      <c r="D458" s="21">
        <f>IF(B458="","",IFERROR(VLOOKUP(B458,'📦产品库'!$B$4:$E$9999,4,0),""))</f>
        <v/>
      </c>
      <c r="E458" s="21">
        <f>IF(B458="","",IFERROR(VLOOKUP(B458,'📦产品库'!$B$4:$F$9999,5,0),""))</f>
        <v/>
      </c>
      <c r="F458" s="22">
        <f>IF(B458="","",IFERROR(VLOOKUP(B458,'📦产品库'!$B$4:$G$9999,6,0),""))</f>
        <v/>
      </c>
      <c r="G458" s="16" t="n"/>
      <c r="H458" s="23">
        <f>IF(B458="","",1)</f>
        <v/>
      </c>
      <c r="I458" s="17">
        <f>IF(B458="","",IF(G458&lt;&gt;"",G458*H458,F458*H458))</f>
        <v/>
      </c>
      <c r="J458" s="24" t="n"/>
      <c r="K458" s="18">
        <f>IF(B458="","",IF(G458&gt;=2000,20,IF(G458&gt;=1000,10,0)))</f>
        <v/>
      </c>
      <c r="L458" s="27" t="n"/>
    </row>
    <row r="459" ht="18" customHeight="1">
      <c r="A459" s="19">
        <f>IF(B459="","",ROW()-4)</f>
        <v/>
      </c>
      <c r="B459" s="15" t="n"/>
      <c r="C459" s="20">
        <f>IF(B459="","",IFERROR(VLOOKUP(B459,'📦产品库'!$B$4:$D$9999,2,0),"⚠️未找到"))</f>
        <v/>
      </c>
      <c r="D459" s="21">
        <f>IF(B459="","",IFERROR(VLOOKUP(B459,'📦产品库'!$B$4:$E$9999,4,0),""))</f>
        <v/>
      </c>
      <c r="E459" s="21">
        <f>IF(B459="","",IFERROR(VLOOKUP(B459,'📦产品库'!$B$4:$F$9999,5,0),""))</f>
        <v/>
      </c>
      <c r="F459" s="22">
        <f>IF(B459="","",IFERROR(VLOOKUP(B459,'📦产品库'!$B$4:$G$9999,6,0),""))</f>
        <v/>
      </c>
      <c r="G459" s="16" t="n"/>
      <c r="H459" s="23">
        <f>IF(B459="","",1)</f>
        <v/>
      </c>
      <c r="I459" s="17">
        <f>IF(B459="","",IF(G459&lt;&gt;"",G459*H459,F459*H459))</f>
        <v/>
      </c>
      <c r="J459" s="24" t="n"/>
      <c r="K459" s="18">
        <f>IF(B459="","",IF(G459&gt;=2000,20,IF(G459&gt;=1000,10,0)))</f>
        <v/>
      </c>
      <c r="L459" s="25" t="n"/>
    </row>
    <row r="460" ht="18" customHeight="1">
      <c r="A460" s="26">
        <f>IF(B460="","",ROW()-4)</f>
        <v/>
      </c>
      <c r="B460" s="15" t="n"/>
      <c r="C460" s="20">
        <f>IF(B460="","",IFERROR(VLOOKUP(B460,'📦产品库'!$B$4:$D$9999,2,0),"⚠️未找到"))</f>
        <v/>
      </c>
      <c r="D460" s="21">
        <f>IF(B460="","",IFERROR(VLOOKUP(B460,'📦产品库'!$B$4:$E$9999,4,0),""))</f>
        <v/>
      </c>
      <c r="E460" s="21">
        <f>IF(B460="","",IFERROR(VLOOKUP(B460,'📦产品库'!$B$4:$F$9999,5,0),""))</f>
        <v/>
      </c>
      <c r="F460" s="22">
        <f>IF(B460="","",IFERROR(VLOOKUP(B460,'📦产品库'!$B$4:$G$9999,6,0),""))</f>
        <v/>
      </c>
      <c r="G460" s="16" t="n"/>
      <c r="H460" s="23">
        <f>IF(B460="","",1)</f>
        <v/>
      </c>
      <c r="I460" s="17">
        <f>IF(B460="","",IF(G460&lt;&gt;"",G460*H460,F460*H460))</f>
        <v/>
      </c>
      <c r="J460" s="24" t="n"/>
      <c r="K460" s="18">
        <f>IF(B460="","",IF(G460&gt;=2000,20,IF(G460&gt;=1000,10,0)))</f>
        <v/>
      </c>
      <c r="L460" s="27" t="n"/>
    </row>
    <row r="461" ht="18" customHeight="1">
      <c r="A461" s="19">
        <f>IF(B461="","",ROW()-4)</f>
        <v/>
      </c>
      <c r="B461" s="15" t="n"/>
      <c r="C461" s="20">
        <f>IF(B461="","",IFERROR(VLOOKUP(B461,'📦产品库'!$B$4:$D$9999,2,0),"⚠️未找到"))</f>
        <v/>
      </c>
      <c r="D461" s="21">
        <f>IF(B461="","",IFERROR(VLOOKUP(B461,'📦产品库'!$B$4:$E$9999,4,0),""))</f>
        <v/>
      </c>
      <c r="E461" s="21">
        <f>IF(B461="","",IFERROR(VLOOKUP(B461,'📦产品库'!$B$4:$F$9999,5,0),""))</f>
        <v/>
      </c>
      <c r="F461" s="22">
        <f>IF(B461="","",IFERROR(VLOOKUP(B461,'📦产品库'!$B$4:$G$9999,6,0),""))</f>
        <v/>
      </c>
      <c r="G461" s="16" t="n"/>
      <c r="H461" s="23">
        <f>IF(B461="","",1)</f>
        <v/>
      </c>
      <c r="I461" s="17">
        <f>IF(B461="","",IF(G461&lt;&gt;"",G461*H461,F461*H461))</f>
        <v/>
      </c>
      <c r="J461" s="24" t="n"/>
      <c r="K461" s="18">
        <f>IF(B461="","",IF(G461&gt;=2000,20,IF(G461&gt;=1000,10,0)))</f>
        <v/>
      </c>
      <c r="L461" s="25" t="n"/>
    </row>
    <row r="462" ht="18" customHeight="1">
      <c r="A462" s="26">
        <f>IF(B462="","",ROW()-4)</f>
        <v/>
      </c>
      <c r="B462" s="15" t="n"/>
      <c r="C462" s="20">
        <f>IF(B462="","",IFERROR(VLOOKUP(B462,'📦产品库'!$B$4:$D$9999,2,0),"⚠️未找到"))</f>
        <v/>
      </c>
      <c r="D462" s="21">
        <f>IF(B462="","",IFERROR(VLOOKUP(B462,'📦产品库'!$B$4:$E$9999,4,0),""))</f>
        <v/>
      </c>
      <c r="E462" s="21">
        <f>IF(B462="","",IFERROR(VLOOKUP(B462,'📦产品库'!$B$4:$F$9999,5,0),""))</f>
        <v/>
      </c>
      <c r="F462" s="22">
        <f>IF(B462="","",IFERROR(VLOOKUP(B462,'📦产品库'!$B$4:$G$9999,6,0),""))</f>
        <v/>
      </c>
      <c r="G462" s="16" t="n"/>
      <c r="H462" s="23">
        <f>IF(B462="","",1)</f>
        <v/>
      </c>
      <c r="I462" s="17">
        <f>IF(B462="","",IF(G462&lt;&gt;"",G462*H462,F462*H462))</f>
        <v/>
      </c>
      <c r="J462" s="24" t="n"/>
      <c r="K462" s="18">
        <f>IF(B462="","",IF(G462&gt;=2000,20,IF(G462&gt;=1000,10,0)))</f>
        <v/>
      </c>
      <c r="L462" s="27" t="n"/>
    </row>
    <row r="463" ht="18" customHeight="1">
      <c r="A463" s="19">
        <f>IF(B463="","",ROW()-4)</f>
        <v/>
      </c>
      <c r="B463" s="15" t="n"/>
      <c r="C463" s="20">
        <f>IF(B463="","",IFERROR(VLOOKUP(B463,'📦产品库'!$B$4:$D$9999,2,0),"⚠️未找到"))</f>
        <v/>
      </c>
      <c r="D463" s="21">
        <f>IF(B463="","",IFERROR(VLOOKUP(B463,'📦产品库'!$B$4:$E$9999,4,0),""))</f>
        <v/>
      </c>
      <c r="E463" s="21">
        <f>IF(B463="","",IFERROR(VLOOKUP(B463,'📦产品库'!$B$4:$F$9999,5,0),""))</f>
        <v/>
      </c>
      <c r="F463" s="22">
        <f>IF(B463="","",IFERROR(VLOOKUP(B463,'📦产品库'!$B$4:$G$9999,6,0),""))</f>
        <v/>
      </c>
      <c r="G463" s="16" t="n"/>
      <c r="H463" s="23">
        <f>IF(B463="","",1)</f>
        <v/>
      </c>
      <c r="I463" s="17">
        <f>IF(B463="","",IF(G463&lt;&gt;"",G463*H463,F463*H463))</f>
        <v/>
      </c>
      <c r="J463" s="24" t="n"/>
      <c r="K463" s="18">
        <f>IF(B463="","",IF(G463&gt;=2000,20,IF(G463&gt;=1000,10,0)))</f>
        <v/>
      </c>
      <c r="L463" s="25" t="n"/>
    </row>
    <row r="464" ht="18" customHeight="1">
      <c r="A464" s="26">
        <f>IF(B464="","",ROW()-4)</f>
        <v/>
      </c>
      <c r="B464" s="15" t="n"/>
      <c r="C464" s="20">
        <f>IF(B464="","",IFERROR(VLOOKUP(B464,'📦产品库'!$B$4:$D$9999,2,0),"⚠️未找到"))</f>
        <v/>
      </c>
      <c r="D464" s="21">
        <f>IF(B464="","",IFERROR(VLOOKUP(B464,'📦产品库'!$B$4:$E$9999,4,0),""))</f>
        <v/>
      </c>
      <c r="E464" s="21">
        <f>IF(B464="","",IFERROR(VLOOKUP(B464,'📦产品库'!$B$4:$F$9999,5,0),""))</f>
        <v/>
      </c>
      <c r="F464" s="22">
        <f>IF(B464="","",IFERROR(VLOOKUP(B464,'📦产品库'!$B$4:$G$9999,6,0),""))</f>
        <v/>
      </c>
      <c r="G464" s="16" t="n"/>
      <c r="H464" s="23">
        <f>IF(B464="","",1)</f>
        <v/>
      </c>
      <c r="I464" s="17">
        <f>IF(B464="","",IF(G464&lt;&gt;"",G464*H464,F464*H464))</f>
        <v/>
      </c>
      <c r="J464" s="24" t="n"/>
      <c r="K464" s="18">
        <f>IF(B464="","",IF(G464&gt;=2000,20,IF(G464&gt;=1000,10,0)))</f>
        <v/>
      </c>
      <c r="L464" s="27" t="n"/>
    </row>
    <row r="465" ht="18" customHeight="1">
      <c r="A465" s="19">
        <f>IF(B465="","",ROW()-4)</f>
        <v/>
      </c>
      <c r="B465" s="15" t="n"/>
      <c r="C465" s="20">
        <f>IF(B465="","",IFERROR(VLOOKUP(B465,'📦产品库'!$B$4:$D$9999,2,0),"⚠️未找到"))</f>
        <v/>
      </c>
      <c r="D465" s="21">
        <f>IF(B465="","",IFERROR(VLOOKUP(B465,'📦产品库'!$B$4:$E$9999,4,0),""))</f>
        <v/>
      </c>
      <c r="E465" s="21">
        <f>IF(B465="","",IFERROR(VLOOKUP(B465,'📦产品库'!$B$4:$F$9999,5,0),""))</f>
        <v/>
      </c>
      <c r="F465" s="22">
        <f>IF(B465="","",IFERROR(VLOOKUP(B465,'📦产品库'!$B$4:$G$9999,6,0),""))</f>
        <v/>
      </c>
      <c r="G465" s="16" t="n"/>
      <c r="H465" s="23">
        <f>IF(B465="","",1)</f>
        <v/>
      </c>
      <c r="I465" s="17">
        <f>IF(B465="","",IF(G465&lt;&gt;"",G465*H465,F465*H465))</f>
        <v/>
      </c>
      <c r="J465" s="24" t="n"/>
      <c r="K465" s="18">
        <f>IF(B465="","",IF(G465&gt;=2000,20,IF(G465&gt;=1000,10,0)))</f>
        <v/>
      </c>
      <c r="L465" s="25" t="n"/>
    </row>
    <row r="466" ht="18" customHeight="1">
      <c r="A466" s="26">
        <f>IF(B466="","",ROW()-4)</f>
        <v/>
      </c>
      <c r="B466" s="15" t="n"/>
      <c r="C466" s="20">
        <f>IF(B466="","",IFERROR(VLOOKUP(B466,'📦产品库'!$B$4:$D$9999,2,0),"⚠️未找到"))</f>
        <v/>
      </c>
      <c r="D466" s="21">
        <f>IF(B466="","",IFERROR(VLOOKUP(B466,'📦产品库'!$B$4:$E$9999,4,0),""))</f>
        <v/>
      </c>
      <c r="E466" s="21">
        <f>IF(B466="","",IFERROR(VLOOKUP(B466,'📦产品库'!$B$4:$F$9999,5,0),""))</f>
        <v/>
      </c>
      <c r="F466" s="22">
        <f>IF(B466="","",IFERROR(VLOOKUP(B466,'📦产品库'!$B$4:$G$9999,6,0),""))</f>
        <v/>
      </c>
      <c r="G466" s="16" t="n"/>
      <c r="H466" s="23">
        <f>IF(B466="","",1)</f>
        <v/>
      </c>
      <c r="I466" s="17">
        <f>IF(B466="","",IF(G466&lt;&gt;"",G466*H466,F466*H466))</f>
        <v/>
      </c>
      <c r="J466" s="24" t="n"/>
      <c r="K466" s="18">
        <f>IF(B466="","",IF(G466&gt;=2000,20,IF(G466&gt;=1000,10,0)))</f>
        <v/>
      </c>
      <c r="L466" s="27" t="n"/>
    </row>
    <row r="467" ht="18" customHeight="1">
      <c r="A467" s="19">
        <f>IF(B467="","",ROW()-4)</f>
        <v/>
      </c>
      <c r="B467" s="15" t="n"/>
      <c r="C467" s="20">
        <f>IF(B467="","",IFERROR(VLOOKUP(B467,'📦产品库'!$B$4:$D$9999,2,0),"⚠️未找到"))</f>
        <v/>
      </c>
      <c r="D467" s="21">
        <f>IF(B467="","",IFERROR(VLOOKUP(B467,'📦产品库'!$B$4:$E$9999,4,0),""))</f>
        <v/>
      </c>
      <c r="E467" s="21">
        <f>IF(B467="","",IFERROR(VLOOKUP(B467,'📦产品库'!$B$4:$F$9999,5,0),""))</f>
        <v/>
      </c>
      <c r="F467" s="22">
        <f>IF(B467="","",IFERROR(VLOOKUP(B467,'📦产品库'!$B$4:$G$9999,6,0),""))</f>
        <v/>
      </c>
      <c r="G467" s="16" t="n"/>
      <c r="H467" s="23">
        <f>IF(B467="","",1)</f>
        <v/>
      </c>
      <c r="I467" s="17">
        <f>IF(B467="","",IF(G467&lt;&gt;"",G467*H467,F467*H467))</f>
        <v/>
      </c>
      <c r="J467" s="24" t="n"/>
      <c r="K467" s="18">
        <f>IF(B467="","",IF(G467&gt;=2000,20,IF(G467&gt;=1000,10,0)))</f>
        <v/>
      </c>
      <c r="L467" s="25" t="n"/>
    </row>
    <row r="468" ht="18" customHeight="1">
      <c r="A468" s="26">
        <f>IF(B468="","",ROW()-4)</f>
        <v/>
      </c>
      <c r="B468" s="15" t="n"/>
      <c r="C468" s="20">
        <f>IF(B468="","",IFERROR(VLOOKUP(B468,'📦产品库'!$B$4:$D$9999,2,0),"⚠️未找到"))</f>
        <v/>
      </c>
      <c r="D468" s="21">
        <f>IF(B468="","",IFERROR(VLOOKUP(B468,'📦产品库'!$B$4:$E$9999,4,0),""))</f>
        <v/>
      </c>
      <c r="E468" s="21">
        <f>IF(B468="","",IFERROR(VLOOKUP(B468,'📦产品库'!$B$4:$F$9999,5,0),""))</f>
        <v/>
      </c>
      <c r="F468" s="22">
        <f>IF(B468="","",IFERROR(VLOOKUP(B468,'📦产品库'!$B$4:$G$9999,6,0),""))</f>
        <v/>
      </c>
      <c r="G468" s="16" t="n"/>
      <c r="H468" s="23">
        <f>IF(B468="","",1)</f>
        <v/>
      </c>
      <c r="I468" s="17">
        <f>IF(B468="","",IF(G468&lt;&gt;"",G468*H468,F468*H468))</f>
        <v/>
      </c>
      <c r="J468" s="24" t="n"/>
      <c r="K468" s="18">
        <f>IF(B468="","",IF(G468&gt;=2000,20,IF(G468&gt;=1000,10,0)))</f>
        <v/>
      </c>
      <c r="L468" s="27" t="n"/>
    </row>
    <row r="469" ht="18" customHeight="1">
      <c r="A469" s="19">
        <f>IF(B469="","",ROW()-4)</f>
        <v/>
      </c>
      <c r="B469" s="15" t="n"/>
      <c r="C469" s="20">
        <f>IF(B469="","",IFERROR(VLOOKUP(B469,'📦产品库'!$B$4:$D$9999,2,0),"⚠️未找到"))</f>
        <v/>
      </c>
      <c r="D469" s="21">
        <f>IF(B469="","",IFERROR(VLOOKUP(B469,'📦产品库'!$B$4:$E$9999,4,0),""))</f>
        <v/>
      </c>
      <c r="E469" s="21">
        <f>IF(B469="","",IFERROR(VLOOKUP(B469,'📦产品库'!$B$4:$F$9999,5,0),""))</f>
        <v/>
      </c>
      <c r="F469" s="22">
        <f>IF(B469="","",IFERROR(VLOOKUP(B469,'📦产品库'!$B$4:$G$9999,6,0),""))</f>
        <v/>
      </c>
      <c r="G469" s="16" t="n"/>
      <c r="H469" s="23">
        <f>IF(B469="","",1)</f>
        <v/>
      </c>
      <c r="I469" s="17">
        <f>IF(B469="","",IF(G469&lt;&gt;"",G469*H469,F469*H469))</f>
        <v/>
      </c>
      <c r="J469" s="24" t="n"/>
      <c r="K469" s="18">
        <f>IF(B469="","",IF(G469&gt;=2000,20,IF(G469&gt;=1000,10,0)))</f>
        <v/>
      </c>
      <c r="L469" s="25" t="n"/>
    </row>
    <row r="470" ht="18" customHeight="1">
      <c r="A470" s="26">
        <f>IF(B470="","",ROW()-4)</f>
        <v/>
      </c>
      <c r="B470" s="15" t="n"/>
      <c r="C470" s="20">
        <f>IF(B470="","",IFERROR(VLOOKUP(B470,'📦产品库'!$B$4:$D$9999,2,0),"⚠️未找到"))</f>
        <v/>
      </c>
      <c r="D470" s="21">
        <f>IF(B470="","",IFERROR(VLOOKUP(B470,'📦产品库'!$B$4:$E$9999,4,0),""))</f>
        <v/>
      </c>
      <c r="E470" s="21">
        <f>IF(B470="","",IFERROR(VLOOKUP(B470,'📦产品库'!$B$4:$F$9999,5,0),""))</f>
        <v/>
      </c>
      <c r="F470" s="22">
        <f>IF(B470="","",IFERROR(VLOOKUP(B470,'📦产品库'!$B$4:$G$9999,6,0),""))</f>
        <v/>
      </c>
      <c r="G470" s="16" t="n"/>
      <c r="H470" s="23">
        <f>IF(B470="","",1)</f>
        <v/>
      </c>
      <c r="I470" s="17">
        <f>IF(B470="","",IF(G470&lt;&gt;"",G470*H470,F470*H470))</f>
        <v/>
      </c>
      <c r="J470" s="24" t="n"/>
      <c r="K470" s="18">
        <f>IF(B470="","",IF(G470&gt;=2000,20,IF(G470&gt;=1000,10,0)))</f>
        <v/>
      </c>
      <c r="L470" s="27" t="n"/>
    </row>
    <row r="471" ht="18" customHeight="1">
      <c r="A471" s="19">
        <f>IF(B471="","",ROW()-4)</f>
        <v/>
      </c>
      <c r="B471" s="15" t="n"/>
      <c r="C471" s="20">
        <f>IF(B471="","",IFERROR(VLOOKUP(B471,'📦产品库'!$B$4:$D$9999,2,0),"⚠️未找到"))</f>
        <v/>
      </c>
      <c r="D471" s="21">
        <f>IF(B471="","",IFERROR(VLOOKUP(B471,'📦产品库'!$B$4:$E$9999,4,0),""))</f>
        <v/>
      </c>
      <c r="E471" s="21">
        <f>IF(B471="","",IFERROR(VLOOKUP(B471,'📦产品库'!$B$4:$F$9999,5,0),""))</f>
        <v/>
      </c>
      <c r="F471" s="22">
        <f>IF(B471="","",IFERROR(VLOOKUP(B471,'📦产品库'!$B$4:$G$9999,6,0),""))</f>
        <v/>
      </c>
      <c r="G471" s="16" t="n"/>
      <c r="H471" s="23">
        <f>IF(B471="","",1)</f>
        <v/>
      </c>
      <c r="I471" s="17">
        <f>IF(B471="","",IF(G471&lt;&gt;"",G471*H471,F471*H471))</f>
        <v/>
      </c>
      <c r="J471" s="24" t="n"/>
      <c r="K471" s="18">
        <f>IF(B471="","",IF(G471&gt;=2000,20,IF(G471&gt;=1000,10,0)))</f>
        <v/>
      </c>
      <c r="L471" s="25" t="n"/>
    </row>
    <row r="472" ht="18" customHeight="1">
      <c r="A472" s="26">
        <f>IF(B472="","",ROW()-4)</f>
        <v/>
      </c>
      <c r="B472" s="15" t="n"/>
      <c r="C472" s="20">
        <f>IF(B472="","",IFERROR(VLOOKUP(B472,'📦产品库'!$B$4:$D$9999,2,0),"⚠️未找到"))</f>
        <v/>
      </c>
      <c r="D472" s="21">
        <f>IF(B472="","",IFERROR(VLOOKUP(B472,'📦产品库'!$B$4:$E$9999,4,0),""))</f>
        <v/>
      </c>
      <c r="E472" s="21">
        <f>IF(B472="","",IFERROR(VLOOKUP(B472,'📦产品库'!$B$4:$F$9999,5,0),""))</f>
        <v/>
      </c>
      <c r="F472" s="22">
        <f>IF(B472="","",IFERROR(VLOOKUP(B472,'📦产品库'!$B$4:$G$9999,6,0),""))</f>
        <v/>
      </c>
      <c r="G472" s="16" t="n"/>
      <c r="H472" s="23">
        <f>IF(B472="","",1)</f>
        <v/>
      </c>
      <c r="I472" s="17">
        <f>IF(B472="","",IF(G472&lt;&gt;"",G472*H472,F472*H472))</f>
        <v/>
      </c>
      <c r="J472" s="24" t="n"/>
      <c r="K472" s="18">
        <f>IF(B472="","",IF(G472&gt;=2000,20,IF(G472&gt;=1000,10,0)))</f>
        <v/>
      </c>
      <c r="L472" s="27" t="n"/>
    </row>
    <row r="473" ht="18" customHeight="1">
      <c r="A473" s="19">
        <f>IF(B473="","",ROW()-4)</f>
        <v/>
      </c>
      <c r="B473" s="15" t="n"/>
      <c r="C473" s="20">
        <f>IF(B473="","",IFERROR(VLOOKUP(B473,'📦产品库'!$B$4:$D$9999,2,0),"⚠️未找到"))</f>
        <v/>
      </c>
      <c r="D473" s="21">
        <f>IF(B473="","",IFERROR(VLOOKUP(B473,'📦产品库'!$B$4:$E$9999,4,0),""))</f>
        <v/>
      </c>
      <c r="E473" s="21">
        <f>IF(B473="","",IFERROR(VLOOKUP(B473,'📦产品库'!$B$4:$F$9999,5,0),""))</f>
        <v/>
      </c>
      <c r="F473" s="22">
        <f>IF(B473="","",IFERROR(VLOOKUP(B473,'📦产品库'!$B$4:$G$9999,6,0),""))</f>
        <v/>
      </c>
      <c r="G473" s="16" t="n"/>
      <c r="H473" s="23">
        <f>IF(B473="","",1)</f>
        <v/>
      </c>
      <c r="I473" s="17">
        <f>IF(B473="","",IF(G473&lt;&gt;"",G473*H473,F473*H473))</f>
        <v/>
      </c>
      <c r="J473" s="24" t="n"/>
      <c r="K473" s="18">
        <f>IF(B473="","",IF(G473&gt;=2000,20,IF(G473&gt;=1000,10,0)))</f>
        <v/>
      </c>
      <c r="L473" s="25" t="n"/>
    </row>
    <row r="474" ht="18" customHeight="1">
      <c r="A474" s="26">
        <f>IF(B474="","",ROW()-4)</f>
        <v/>
      </c>
      <c r="B474" s="15" t="n"/>
      <c r="C474" s="20">
        <f>IF(B474="","",IFERROR(VLOOKUP(B474,'📦产品库'!$B$4:$D$9999,2,0),"⚠️未找到"))</f>
        <v/>
      </c>
      <c r="D474" s="21">
        <f>IF(B474="","",IFERROR(VLOOKUP(B474,'📦产品库'!$B$4:$E$9999,4,0),""))</f>
        <v/>
      </c>
      <c r="E474" s="21">
        <f>IF(B474="","",IFERROR(VLOOKUP(B474,'📦产品库'!$B$4:$F$9999,5,0),""))</f>
        <v/>
      </c>
      <c r="F474" s="22">
        <f>IF(B474="","",IFERROR(VLOOKUP(B474,'📦产品库'!$B$4:$G$9999,6,0),""))</f>
        <v/>
      </c>
      <c r="G474" s="16" t="n"/>
      <c r="H474" s="23">
        <f>IF(B474="","",1)</f>
        <v/>
      </c>
      <c r="I474" s="17">
        <f>IF(B474="","",IF(G474&lt;&gt;"",G474*H474,F474*H474))</f>
        <v/>
      </c>
      <c r="J474" s="24" t="n"/>
      <c r="K474" s="18">
        <f>IF(B474="","",IF(G474&gt;=2000,20,IF(G474&gt;=1000,10,0)))</f>
        <v/>
      </c>
      <c r="L474" s="27" t="n"/>
    </row>
    <row r="475" ht="18" customHeight="1">
      <c r="A475" s="19">
        <f>IF(B475="","",ROW()-4)</f>
        <v/>
      </c>
      <c r="B475" s="15" t="n"/>
      <c r="C475" s="20">
        <f>IF(B475="","",IFERROR(VLOOKUP(B475,'📦产品库'!$B$4:$D$9999,2,0),"⚠️未找到"))</f>
        <v/>
      </c>
      <c r="D475" s="21">
        <f>IF(B475="","",IFERROR(VLOOKUP(B475,'📦产品库'!$B$4:$E$9999,4,0),""))</f>
        <v/>
      </c>
      <c r="E475" s="21">
        <f>IF(B475="","",IFERROR(VLOOKUP(B475,'📦产品库'!$B$4:$F$9999,5,0),""))</f>
        <v/>
      </c>
      <c r="F475" s="22">
        <f>IF(B475="","",IFERROR(VLOOKUP(B475,'📦产品库'!$B$4:$G$9999,6,0),""))</f>
        <v/>
      </c>
      <c r="G475" s="16" t="n"/>
      <c r="H475" s="23">
        <f>IF(B475="","",1)</f>
        <v/>
      </c>
      <c r="I475" s="17">
        <f>IF(B475="","",IF(G475&lt;&gt;"",G475*H475,F475*H475))</f>
        <v/>
      </c>
      <c r="J475" s="24" t="n"/>
      <c r="K475" s="18">
        <f>IF(B475="","",IF(G475&gt;=2000,20,IF(G475&gt;=1000,10,0)))</f>
        <v/>
      </c>
      <c r="L475" s="25" t="n"/>
    </row>
    <row r="476" ht="18" customHeight="1">
      <c r="A476" s="26">
        <f>IF(B476="","",ROW()-4)</f>
        <v/>
      </c>
      <c r="B476" s="15" t="n"/>
      <c r="C476" s="20">
        <f>IF(B476="","",IFERROR(VLOOKUP(B476,'📦产品库'!$B$4:$D$9999,2,0),"⚠️未找到"))</f>
        <v/>
      </c>
      <c r="D476" s="21">
        <f>IF(B476="","",IFERROR(VLOOKUP(B476,'📦产品库'!$B$4:$E$9999,4,0),""))</f>
        <v/>
      </c>
      <c r="E476" s="21">
        <f>IF(B476="","",IFERROR(VLOOKUP(B476,'📦产品库'!$B$4:$F$9999,5,0),""))</f>
        <v/>
      </c>
      <c r="F476" s="22">
        <f>IF(B476="","",IFERROR(VLOOKUP(B476,'📦产品库'!$B$4:$G$9999,6,0),""))</f>
        <v/>
      </c>
      <c r="G476" s="16" t="n"/>
      <c r="H476" s="23">
        <f>IF(B476="","",1)</f>
        <v/>
      </c>
      <c r="I476" s="17">
        <f>IF(B476="","",IF(G476&lt;&gt;"",G476*H476,F476*H476))</f>
        <v/>
      </c>
      <c r="J476" s="24" t="n"/>
      <c r="K476" s="18">
        <f>IF(B476="","",IF(G476&gt;=2000,20,IF(G476&gt;=1000,10,0)))</f>
        <v/>
      </c>
      <c r="L476" s="27" t="n"/>
    </row>
    <row r="477" ht="18" customHeight="1">
      <c r="A477" s="19">
        <f>IF(B477="","",ROW()-4)</f>
        <v/>
      </c>
      <c r="B477" s="15" t="n"/>
      <c r="C477" s="20">
        <f>IF(B477="","",IFERROR(VLOOKUP(B477,'📦产品库'!$B$4:$D$9999,2,0),"⚠️未找到"))</f>
        <v/>
      </c>
      <c r="D477" s="21">
        <f>IF(B477="","",IFERROR(VLOOKUP(B477,'📦产品库'!$B$4:$E$9999,4,0),""))</f>
        <v/>
      </c>
      <c r="E477" s="21">
        <f>IF(B477="","",IFERROR(VLOOKUP(B477,'📦产品库'!$B$4:$F$9999,5,0),""))</f>
        <v/>
      </c>
      <c r="F477" s="22">
        <f>IF(B477="","",IFERROR(VLOOKUP(B477,'📦产品库'!$B$4:$G$9999,6,0),""))</f>
        <v/>
      </c>
      <c r="G477" s="16" t="n"/>
      <c r="H477" s="23">
        <f>IF(B477="","",1)</f>
        <v/>
      </c>
      <c r="I477" s="17">
        <f>IF(B477="","",IF(G477&lt;&gt;"",G477*H477,F477*H477))</f>
        <v/>
      </c>
      <c r="J477" s="24" t="n"/>
      <c r="K477" s="18">
        <f>IF(B477="","",IF(G477&gt;=2000,20,IF(G477&gt;=1000,10,0)))</f>
        <v/>
      </c>
      <c r="L477" s="25" t="n"/>
    </row>
    <row r="478" ht="18" customHeight="1">
      <c r="A478" s="26">
        <f>IF(B478="","",ROW()-4)</f>
        <v/>
      </c>
      <c r="B478" s="15" t="n"/>
      <c r="C478" s="20">
        <f>IF(B478="","",IFERROR(VLOOKUP(B478,'📦产品库'!$B$4:$D$9999,2,0),"⚠️未找到"))</f>
        <v/>
      </c>
      <c r="D478" s="21">
        <f>IF(B478="","",IFERROR(VLOOKUP(B478,'📦产品库'!$B$4:$E$9999,4,0),""))</f>
        <v/>
      </c>
      <c r="E478" s="21">
        <f>IF(B478="","",IFERROR(VLOOKUP(B478,'📦产品库'!$B$4:$F$9999,5,0),""))</f>
        <v/>
      </c>
      <c r="F478" s="22">
        <f>IF(B478="","",IFERROR(VLOOKUP(B478,'📦产品库'!$B$4:$G$9999,6,0),""))</f>
        <v/>
      </c>
      <c r="G478" s="16" t="n"/>
      <c r="H478" s="23">
        <f>IF(B478="","",1)</f>
        <v/>
      </c>
      <c r="I478" s="17">
        <f>IF(B478="","",IF(G478&lt;&gt;"",G478*H478,F478*H478))</f>
        <v/>
      </c>
      <c r="J478" s="24" t="n"/>
      <c r="K478" s="18">
        <f>IF(B478="","",IF(G478&gt;=2000,20,IF(G478&gt;=1000,10,0)))</f>
        <v/>
      </c>
      <c r="L478" s="27" t="n"/>
    </row>
    <row r="479" ht="18" customHeight="1">
      <c r="A479" s="19">
        <f>IF(B479="","",ROW()-4)</f>
        <v/>
      </c>
      <c r="B479" s="15" t="n"/>
      <c r="C479" s="20">
        <f>IF(B479="","",IFERROR(VLOOKUP(B479,'📦产品库'!$B$4:$D$9999,2,0),"⚠️未找到"))</f>
        <v/>
      </c>
      <c r="D479" s="21">
        <f>IF(B479="","",IFERROR(VLOOKUP(B479,'📦产品库'!$B$4:$E$9999,4,0),""))</f>
        <v/>
      </c>
      <c r="E479" s="21">
        <f>IF(B479="","",IFERROR(VLOOKUP(B479,'📦产品库'!$B$4:$F$9999,5,0),""))</f>
        <v/>
      </c>
      <c r="F479" s="22">
        <f>IF(B479="","",IFERROR(VLOOKUP(B479,'📦产品库'!$B$4:$G$9999,6,0),""))</f>
        <v/>
      </c>
      <c r="G479" s="16" t="n"/>
      <c r="H479" s="23">
        <f>IF(B479="","",1)</f>
        <v/>
      </c>
      <c r="I479" s="17">
        <f>IF(B479="","",IF(G479&lt;&gt;"",G479*H479,F479*H479))</f>
        <v/>
      </c>
      <c r="J479" s="24" t="n"/>
      <c r="K479" s="18">
        <f>IF(B479="","",IF(G479&gt;=2000,20,IF(G479&gt;=1000,10,0)))</f>
        <v/>
      </c>
      <c r="L479" s="25" t="n"/>
    </row>
    <row r="480" ht="18" customHeight="1">
      <c r="A480" s="26">
        <f>IF(B480="","",ROW()-4)</f>
        <v/>
      </c>
      <c r="B480" s="15" t="n"/>
      <c r="C480" s="20">
        <f>IF(B480="","",IFERROR(VLOOKUP(B480,'📦产品库'!$B$4:$D$9999,2,0),"⚠️未找到"))</f>
        <v/>
      </c>
      <c r="D480" s="21">
        <f>IF(B480="","",IFERROR(VLOOKUP(B480,'📦产品库'!$B$4:$E$9999,4,0),""))</f>
        <v/>
      </c>
      <c r="E480" s="21">
        <f>IF(B480="","",IFERROR(VLOOKUP(B480,'📦产品库'!$B$4:$F$9999,5,0),""))</f>
        <v/>
      </c>
      <c r="F480" s="22">
        <f>IF(B480="","",IFERROR(VLOOKUP(B480,'📦产品库'!$B$4:$G$9999,6,0),""))</f>
        <v/>
      </c>
      <c r="G480" s="16" t="n"/>
      <c r="H480" s="23">
        <f>IF(B480="","",1)</f>
        <v/>
      </c>
      <c r="I480" s="17">
        <f>IF(B480="","",IF(G480&lt;&gt;"",G480*H480,F480*H480))</f>
        <v/>
      </c>
      <c r="J480" s="24" t="n"/>
      <c r="K480" s="18">
        <f>IF(B480="","",IF(G480&gt;=2000,20,IF(G480&gt;=1000,10,0)))</f>
        <v/>
      </c>
      <c r="L480" s="27" t="n"/>
    </row>
    <row r="481" ht="18" customHeight="1">
      <c r="A481" s="19">
        <f>IF(B481="","",ROW()-4)</f>
        <v/>
      </c>
      <c r="B481" s="15" t="n"/>
      <c r="C481" s="20">
        <f>IF(B481="","",IFERROR(VLOOKUP(B481,'📦产品库'!$B$4:$D$9999,2,0),"⚠️未找到"))</f>
        <v/>
      </c>
      <c r="D481" s="21">
        <f>IF(B481="","",IFERROR(VLOOKUP(B481,'📦产品库'!$B$4:$E$9999,4,0),""))</f>
        <v/>
      </c>
      <c r="E481" s="21">
        <f>IF(B481="","",IFERROR(VLOOKUP(B481,'📦产品库'!$B$4:$F$9999,5,0),""))</f>
        <v/>
      </c>
      <c r="F481" s="22">
        <f>IF(B481="","",IFERROR(VLOOKUP(B481,'📦产品库'!$B$4:$G$9999,6,0),""))</f>
        <v/>
      </c>
      <c r="G481" s="16" t="n"/>
      <c r="H481" s="23">
        <f>IF(B481="","",1)</f>
        <v/>
      </c>
      <c r="I481" s="17">
        <f>IF(B481="","",IF(G481&lt;&gt;"",G481*H481,F481*H481))</f>
        <v/>
      </c>
      <c r="J481" s="24" t="n"/>
      <c r="K481" s="18">
        <f>IF(B481="","",IF(G481&gt;=2000,20,IF(G481&gt;=1000,10,0)))</f>
        <v/>
      </c>
      <c r="L481" s="25" t="n"/>
    </row>
    <row r="482" ht="18" customHeight="1">
      <c r="A482" s="26">
        <f>IF(B482="","",ROW()-4)</f>
        <v/>
      </c>
      <c r="B482" s="15" t="n"/>
      <c r="C482" s="20">
        <f>IF(B482="","",IFERROR(VLOOKUP(B482,'📦产品库'!$B$4:$D$9999,2,0),"⚠️未找到"))</f>
        <v/>
      </c>
      <c r="D482" s="21">
        <f>IF(B482="","",IFERROR(VLOOKUP(B482,'📦产品库'!$B$4:$E$9999,4,0),""))</f>
        <v/>
      </c>
      <c r="E482" s="21">
        <f>IF(B482="","",IFERROR(VLOOKUP(B482,'📦产品库'!$B$4:$F$9999,5,0),""))</f>
        <v/>
      </c>
      <c r="F482" s="22">
        <f>IF(B482="","",IFERROR(VLOOKUP(B482,'📦产品库'!$B$4:$G$9999,6,0),""))</f>
        <v/>
      </c>
      <c r="G482" s="16" t="n"/>
      <c r="H482" s="23">
        <f>IF(B482="","",1)</f>
        <v/>
      </c>
      <c r="I482" s="17">
        <f>IF(B482="","",IF(G482&lt;&gt;"",G482*H482,F482*H482))</f>
        <v/>
      </c>
      <c r="J482" s="24" t="n"/>
      <c r="K482" s="18">
        <f>IF(B482="","",IF(G482&gt;=2000,20,IF(G482&gt;=1000,10,0)))</f>
        <v/>
      </c>
      <c r="L482" s="27" t="n"/>
    </row>
    <row r="483" ht="18" customHeight="1">
      <c r="A483" s="19">
        <f>IF(B483="","",ROW()-4)</f>
        <v/>
      </c>
      <c r="B483" s="15" t="n"/>
      <c r="C483" s="20">
        <f>IF(B483="","",IFERROR(VLOOKUP(B483,'📦产品库'!$B$4:$D$9999,2,0),"⚠️未找到"))</f>
        <v/>
      </c>
      <c r="D483" s="21">
        <f>IF(B483="","",IFERROR(VLOOKUP(B483,'📦产品库'!$B$4:$E$9999,4,0),""))</f>
        <v/>
      </c>
      <c r="E483" s="21">
        <f>IF(B483="","",IFERROR(VLOOKUP(B483,'📦产品库'!$B$4:$F$9999,5,0),""))</f>
        <v/>
      </c>
      <c r="F483" s="22">
        <f>IF(B483="","",IFERROR(VLOOKUP(B483,'📦产品库'!$B$4:$G$9999,6,0),""))</f>
        <v/>
      </c>
      <c r="G483" s="16" t="n"/>
      <c r="H483" s="23">
        <f>IF(B483="","",1)</f>
        <v/>
      </c>
      <c r="I483" s="17">
        <f>IF(B483="","",IF(G483&lt;&gt;"",G483*H483,F483*H483))</f>
        <v/>
      </c>
      <c r="J483" s="24" t="n"/>
      <c r="K483" s="18">
        <f>IF(B483="","",IF(G483&gt;=2000,20,IF(G483&gt;=1000,10,0)))</f>
        <v/>
      </c>
      <c r="L483" s="25" t="n"/>
    </row>
    <row r="484" ht="18" customHeight="1">
      <c r="A484" s="26">
        <f>IF(B484="","",ROW()-4)</f>
        <v/>
      </c>
      <c r="B484" s="15" t="n"/>
      <c r="C484" s="20">
        <f>IF(B484="","",IFERROR(VLOOKUP(B484,'📦产品库'!$B$4:$D$9999,2,0),"⚠️未找到"))</f>
        <v/>
      </c>
      <c r="D484" s="21">
        <f>IF(B484="","",IFERROR(VLOOKUP(B484,'📦产品库'!$B$4:$E$9999,4,0),""))</f>
        <v/>
      </c>
      <c r="E484" s="21">
        <f>IF(B484="","",IFERROR(VLOOKUP(B484,'📦产品库'!$B$4:$F$9999,5,0),""))</f>
        <v/>
      </c>
      <c r="F484" s="22">
        <f>IF(B484="","",IFERROR(VLOOKUP(B484,'📦产品库'!$B$4:$G$9999,6,0),""))</f>
        <v/>
      </c>
      <c r="G484" s="16" t="n"/>
      <c r="H484" s="23">
        <f>IF(B484="","",1)</f>
        <v/>
      </c>
      <c r="I484" s="17">
        <f>IF(B484="","",IF(G484&lt;&gt;"",G484*H484,F484*H484))</f>
        <v/>
      </c>
      <c r="J484" s="24" t="n"/>
      <c r="K484" s="18">
        <f>IF(B484="","",IF(G484&gt;=2000,20,IF(G484&gt;=1000,10,0)))</f>
        <v/>
      </c>
      <c r="L484" s="27" t="n"/>
    </row>
    <row r="485" ht="18" customHeight="1">
      <c r="A485" s="19">
        <f>IF(B485="","",ROW()-4)</f>
        <v/>
      </c>
      <c r="B485" s="15" t="n"/>
      <c r="C485" s="20">
        <f>IF(B485="","",IFERROR(VLOOKUP(B485,'📦产品库'!$B$4:$D$9999,2,0),"⚠️未找到"))</f>
        <v/>
      </c>
      <c r="D485" s="21">
        <f>IF(B485="","",IFERROR(VLOOKUP(B485,'📦产品库'!$B$4:$E$9999,4,0),""))</f>
        <v/>
      </c>
      <c r="E485" s="21">
        <f>IF(B485="","",IFERROR(VLOOKUP(B485,'📦产品库'!$B$4:$F$9999,5,0),""))</f>
        <v/>
      </c>
      <c r="F485" s="22">
        <f>IF(B485="","",IFERROR(VLOOKUP(B485,'📦产品库'!$B$4:$G$9999,6,0),""))</f>
        <v/>
      </c>
      <c r="G485" s="16" t="n"/>
      <c r="H485" s="23">
        <f>IF(B485="","",1)</f>
        <v/>
      </c>
      <c r="I485" s="17">
        <f>IF(B485="","",IF(G485&lt;&gt;"",G485*H485,F485*H485))</f>
        <v/>
      </c>
      <c r="J485" s="24" t="n"/>
      <c r="K485" s="18">
        <f>IF(B485="","",IF(G485&gt;=2000,20,IF(G485&gt;=1000,10,0)))</f>
        <v/>
      </c>
      <c r="L485" s="25" t="n"/>
    </row>
    <row r="486" ht="18" customHeight="1">
      <c r="A486" s="26">
        <f>IF(B486="","",ROW()-4)</f>
        <v/>
      </c>
      <c r="B486" s="15" t="n"/>
      <c r="C486" s="20">
        <f>IF(B486="","",IFERROR(VLOOKUP(B486,'📦产品库'!$B$4:$D$9999,2,0),"⚠️未找到"))</f>
        <v/>
      </c>
      <c r="D486" s="21">
        <f>IF(B486="","",IFERROR(VLOOKUP(B486,'📦产品库'!$B$4:$E$9999,4,0),""))</f>
        <v/>
      </c>
      <c r="E486" s="21">
        <f>IF(B486="","",IFERROR(VLOOKUP(B486,'📦产品库'!$B$4:$F$9999,5,0),""))</f>
        <v/>
      </c>
      <c r="F486" s="22">
        <f>IF(B486="","",IFERROR(VLOOKUP(B486,'📦产品库'!$B$4:$G$9999,6,0),""))</f>
        <v/>
      </c>
      <c r="G486" s="16" t="n"/>
      <c r="H486" s="23">
        <f>IF(B486="","",1)</f>
        <v/>
      </c>
      <c r="I486" s="17">
        <f>IF(B486="","",IF(G486&lt;&gt;"",G486*H486,F486*H486))</f>
        <v/>
      </c>
      <c r="J486" s="24" t="n"/>
      <c r="K486" s="18">
        <f>IF(B486="","",IF(G486&gt;=2000,20,IF(G486&gt;=1000,10,0)))</f>
        <v/>
      </c>
      <c r="L486" s="27" t="n"/>
    </row>
    <row r="487" ht="18" customHeight="1">
      <c r="A487" s="19">
        <f>IF(B487="","",ROW()-4)</f>
        <v/>
      </c>
      <c r="B487" s="15" t="n"/>
      <c r="C487" s="20">
        <f>IF(B487="","",IFERROR(VLOOKUP(B487,'📦产品库'!$B$4:$D$9999,2,0),"⚠️未找到"))</f>
        <v/>
      </c>
      <c r="D487" s="21">
        <f>IF(B487="","",IFERROR(VLOOKUP(B487,'📦产品库'!$B$4:$E$9999,4,0),""))</f>
        <v/>
      </c>
      <c r="E487" s="21">
        <f>IF(B487="","",IFERROR(VLOOKUP(B487,'📦产品库'!$B$4:$F$9999,5,0),""))</f>
        <v/>
      </c>
      <c r="F487" s="22">
        <f>IF(B487="","",IFERROR(VLOOKUP(B487,'📦产品库'!$B$4:$G$9999,6,0),""))</f>
        <v/>
      </c>
      <c r="G487" s="16" t="n"/>
      <c r="H487" s="23">
        <f>IF(B487="","",1)</f>
        <v/>
      </c>
      <c r="I487" s="17">
        <f>IF(B487="","",IF(G487&lt;&gt;"",G487*H487,F487*H487))</f>
        <v/>
      </c>
      <c r="J487" s="24" t="n"/>
      <c r="K487" s="18">
        <f>IF(B487="","",IF(G487&gt;=2000,20,IF(G487&gt;=1000,10,0)))</f>
        <v/>
      </c>
      <c r="L487" s="25" t="n"/>
    </row>
    <row r="488" ht="18" customHeight="1">
      <c r="A488" s="26">
        <f>IF(B488="","",ROW()-4)</f>
        <v/>
      </c>
      <c r="B488" s="15" t="n"/>
      <c r="C488" s="20">
        <f>IF(B488="","",IFERROR(VLOOKUP(B488,'📦产品库'!$B$4:$D$9999,2,0),"⚠️未找到"))</f>
        <v/>
      </c>
      <c r="D488" s="21">
        <f>IF(B488="","",IFERROR(VLOOKUP(B488,'📦产品库'!$B$4:$E$9999,4,0),""))</f>
        <v/>
      </c>
      <c r="E488" s="21">
        <f>IF(B488="","",IFERROR(VLOOKUP(B488,'📦产品库'!$B$4:$F$9999,5,0),""))</f>
        <v/>
      </c>
      <c r="F488" s="22">
        <f>IF(B488="","",IFERROR(VLOOKUP(B488,'📦产品库'!$B$4:$G$9999,6,0),""))</f>
        <v/>
      </c>
      <c r="G488" s="16" t="n"/>
      <c r="H488" s="23">
        <f>IF(B488="","",1)</f>
        <v/>
      </c>
      <c r="I488" s="17">
        <f>IF(B488="","",IF(G488&lt;&gt;"",G488*H488,F488*H488))</f>
        <v/>
      </c>
      <c r="J488" s="24" t="n"/>
      <c r="K488" s="18">
        <f>IF(B488="","",IF(G488&gt;=2000,20,IF(G488&gt;=1000,10,0)))</f>
        <v/>
      </c>
      <c r="L488" s="27" t="n"/>
    </row>
    <row r="489" ht="18" customHeight="1">
      <c r="A489" s="19">
        <f>IF(B489="","",ROW()-4)</f>
        <v/>
      </c>
      <c r="B489" s="15" t="n"/>
      <c r="C489" s="20">
        <f>IF(B489="","",IFERROR(VLOOKUP(B489,'📦产品库'!$B$4:$D$9999,2,0),"⚠️未找到"))</f>
        <v/>
      </c>
      <c r="D489" s="21">
        <f>IF(B489="","",IFERROR(VLOOKUP(B489,'📦产品库'!$B$4:$E$9999,4,0),""))</f>
        <v/>
      </c>
      <c r="E489" s="21">
        <f>IF(B489="","",IFERROR(VLOOKUP(B489,'📦产品库'!$B$4:$F$9999,5,0),""))</f>
        <v/>
      </c>
      <c r="F489" s="22">
        <f>IF(B489="","",IFERROR(VLOOKUP(B489,'📦产品库'!$B$4:$G$9999,6,0),""))</f>
        <v/>
      </c>
      <c r="G489" s="16" t="n"/>
      <c r="H489" s="23">
        <f>IF(B489="","",1)</f>
        <v/>
      </c>
      <c r="I489" s="17">
        <f>IF(B489="","",IF(G489&lt;&gt;"",G489*H489,F489*H489))</f>
        <v/>
      </c>
      <c r="J489" s="24" t="n"/>
      <c r="K489" s="18">
        <f>IF(B489="","",IF(G489&gt;=2000,20,IF(G489&gt;=1000,10,0)))</f>
        <v/>
      </c>
      <c r="L489" s="25" t="n"/>
    </row>
    <row r="490" ht="18" customHeight="1">
      <c r="A490" s="26">
        <f>IF(B490="","",ROW()-4)</f>
        <v/>
      </c>
      <c r="B490" s="15" t="n"/>
      <c r="C490" s="20">
        <f>IF(B490="","",IFERROR(VLOOKUP(B490,'📦产品库'!$B$4:$D$9999,2,0),"⚠️未找到"))</f>
        <v/>
      </c>
      <c r="D490" s="21">
        <f>IF(B490="","",IFERROR(VLOOKUP(B490,'📦产品库'!$B$4:$E$9999,4,0),""))</f>
        <v/>
      </c>
      <c r="E490" s="21">
        <f>IF(B490="","",IFERROR(VLOOKUP(B490,'📦产品库'!$B$4:$F$9999,5,0),""))</f>
        <v/>
      </c>
      <c r="F490" s="22">
        <f>IF(B490="","",IFERROR(VLOOKUP(B490,'📦产品库'!$B$4:$G$9999,6,0),""))</f>
        <v/>
      </c>
      <c r="G490" s="16" t="n"/>
      <c r="H490" s="23">
        <f>IF(B490="","",1)</f>
        <v/>
      </c>
      <c r="I490" s="17">
        <f>IF(B490="","",IF(G490&lt;&gt;"",G490*H490,F490*H490))</f>
        <v/>
      </c>
      <c r="J490" s="24" t="n"/>
      <c r="K490" s="18">
        <f>IF(B490="","",IF(G490&gt;=2000,20,IF(G490&gt;=1000,10,0)))</f>
        <v/>
      </c>
      <c r="L490" s="27" t="n"/>
    </row>
    <row r="491" ht="18" customHeight="1">
      <c r="A491" s="19">
        <f>IF(B491="","",ROW()-4)</f>
        <v/>
      </c>
      <c r="B491" s="15" t="n"/>
      <c r="C491" s="20">
        <f>IF(B491="","",IFERROR(VLOOKUP(B491,'📦产品库'!$B$4:$D$9999,2,0),"⚠️未找到"))</f>
        <v/>
      </c>
      <c r="D491" s="21">
        <f>IF(B491="","",IFERROR(VLOOKUP(B491,'📦产品库'!$B$4:$E$9999,4,0),""))</f>
        <v/>
      </c>
      <c r="E491" s="21">
        <f>IF(B491="","",IFERROR(VLOOKUP(B491,'📦产品库'!$B$4:$F$9999,5,0),""))</f>
        <v/>
      </c>
      <c r="F491" s="22">
        <f>IF(B491="","",IFERROR(VLOOKUP(B491,'📦产品库'!$B$4:$G$9999,6,0),""))</f>
        <v/>
      </c>
      <c r="G491" s="16" t="n"/>
      <c r="H491" s="23">
        <f>IF(B491="","",1)</f>
        <v/>
      </c>
      <c r="I491" s="17">
        <f>IF(B491="","",IF(G491&lt;&gt;"",G491*H491,F491*H491))</f>
        <v/>
      </c>
      <c r="J491" s="24" t="n"/>
      <c r="K491" s="18">
        <f>IF(B491="","",IF(G491&gt;=2000,20,IF(G491&gt;=1000,10,0)))</f>
        <v/>
      </c>
      <c r="L491" s="25" t="n"/>
    </row>
    <row r="492" ht="18" customHeight="1">
      <c r="A492" s="26">
        <f>IF(B492="","",ROW()-4)</f>
        <v/>
      </c>
      <c r="B492" s="15" t="n"/>
      <c r="C492" s="20">
        <f>IF(B492="","",IFERROR(VLOOKUP(B492,'📦产品库'!$B$4:$D$9999,2,0),"⚠️未找到"))</f>
        <v/>
      </c>
      <c r="D492" s="21">
        <f>IF(B492="","",IFERROR(VLOOKUP(B492,'📦产品库'!$B$4:$E$9999,4,0),""))</f>
        <v/>
      </c>
      <c r="E492" s="21">
        <f>IF(B492="","",IFERROR(VLOOKUP(B492,'📦产品库'!$B$4:$F$9999,5,0),""))</f>
        <v/>
      </c>
      <c r="F492" s="22">
        <f>IF(B492="","",IFERROR(VLOOKUP(B492,'📦产品库'!$B$4:$G$9999,6,0),""))</f>
        <v/>
      </c>
      <c r="G492" s="16" t="n"/>
      <c r="H492" s="23">
        <f>IF(B492="","",1)</f>
        <v/>
      </c>
      <c r="I492" s="17">
        <f>IF(B492="","",IF(G492&lt;&gt;"",G492*H492,F492*H492))</f>
        <v/>
      </c>
      <c r="J492" s="24" t="n"/>
      <c r="K492" s="18">
        <f>IF(B492="","",IF(G492&gt;=2000,20,IF(G492&gt;=1000,10,0)))</f>
        <v/>
      </c>
      <c r="L492" s="27" t="n"/>
    </row>
    <row r="493" ht="18" customHeight="1">
      <c r="A493" s="19">
        <f>IF(B493="","",ROW()-4)</f>
        <v/>
      </c>
      <c r="B493" s="15" t="n"/>
      <c r="C493" s="20">
        <f>IF(B493="","",IFERROR(VLOOKUP(B493,'📦产品库'!$B$4:$D$9999,2,0),"⚠️未找到"))</f>
        <v/>
      </c>
      <c r="D493" s="21">
        <f>IF(B493="","",IFERROR(VLOOKUP(B493,'📦产品库'!$B$4:$E$9999,4,0),""))</f>
        <v/>
      </c>
      <c r="E493" s="21">
        <f>IF(B493="","",IFERROR(VLOOKUP(B493,'📦产品库'!$B$4:$F$9999,5,0),""))</f>
        <v/>
      </c>
      <c r="F493" s="22">
        <f>IF(B493="","",IFERROR(VLOOKUP(B493,'📦产品库'!$B$4:$G$9999,6,0),""))</f>
        <v/>
      </c>
      <c r="G493" s="16" t="n"/>
      <c r="H493" s="23">
        <f>IF(B493="","",1)</f>
        <v/>
      </c>
      <c r="I493" s="17">
        <f>IF(B493="","",IF(G493&lt;&gt;"",G493*H493,F493*H493))</f>
        <v/>
      </c>
      <c r="J493" s="24" t="n"/>
      <c r="K493" s="18">
        <f>IF(B493="","",IF(G493&gt;=2000,20,IF(G493&gt;=1000,10,0)))</f>
        <v/>
      </c>
      <c r="L493" s="25" t="n"/>
    </row>
    <row r="494" ht="18" customHeight="1">
      <c r="A494" s="26">
        <f>IF(B494="","",ROW()-4)</f>
        <v/>
      </c>
      <c r="B494" s="15" t="n"/>
      <c r="C494" s="20">
        <f>IF(B494="","",IFERROR(VLOOKUP(B494,'📦产品库'!$B$4:$D$9999,2,0),"⚠️未找到"))</f>
        <v/>
      </c>
      <c r="D494" s="21">
        <f>IF(B494="","",IFERROR(VLOOKUP(B494,'📦产品库'!$B$4:$E$9999,4,0),""))</f>
        <v/>
      </c>
      <c r="E494" s="21">
        <f>IF(B494="","",IFERROR(VLOOKUP(B494,'📦产品库'!$B$4:$F$9999,5,0),""))</f>
        <v/>
      </c>
      <c r="F494" s="22">
        <f>IF(B494="","",IFERROR(VLOOKUP(B494,'📦产品库'!$B$4:$G$9999,6,0),""))</f>
        <v/>
      </c>
      <c r="G494" s="16" t="n"/>
      <c r="H494" s="23">
        <f>IF(B494="","",1)</f>
        <v/>
      </c>
      <c r="I494" s="17">
        <f>IF(B494="","",IF(G494&lt;&gt;"",G494*H494,F494*H494))</f>
        <v/>
      </c>
      <c r="J494" s="24" t="n"/>
      <c r="K494" s="18">
        <f>IF(B494="","",IF(G494&gt;=2000,20,IF(G494&gt;=1000,10,0)))</f>
        <v/>
      </c>
      <c r="L494" s="27" t="n"/>
    </row>
    <row r="495" ht="18" customHeight="1">
      <c r="A495" s="19">
        <f>IF(B495="","",ROW()-4)</f>
        <v/>
      </c>
      <c r="B495" s="15" t="n"/>
      <c r="C495" s="20">
        <f>IF(B495="","",IFERROR(VLOOKUP(B495,'📦产品库'!$B$4:$D$9999,2,0),"⚠️未找到"))</f>
        <v/>
      </c>
      <c r="D495" s="21">
        <f>IF(B495="","",IFERROR(VLOOKUP(B495,'📦产品库'!$B$4:$E$9999,4,0),""))</f>
        <v/>
      </c>
      <c r="E495" s="21">
        <f>IF(B495="","",IFERROR(VLOOKUP(B495,'📦产品库'!$B$4:$F$9999,5,0),""))</f>
        <v/>
      </c>
      <c r="F495" s="22">
        <f>IF(B495="","",IFERROR(VLOOKUP(B495,'📦产品库'!$B$4:$G$9999,6,0),""))</f>
        <v/>
      </c>
      <c r="G495" s="16" t="n"/>
      <c r="H495" s="23">
        <f>IF(B495="","",1)</f>
        <v/>
      </c>
      <c r="I495" s="17">
        <f>IF(B495="","",IF(G495&lt;&gt;"",G495*H495,F495*H495))</f>
        <v/>
      </c>
      <c r="J495" s="24" t="n"/>
      <c r="K495" s="18">
        <f>IF(B495="","",IF(G495&gt;=2000,20,IF(G495&gt;=1000,10,0)))</f>
        <v/>
      </c>
      <c r="L495" s="25" t="n"/>
    </row>
    <row r="496" ht="18" customHeight="1">
      <c r="A496" s="26">
        <f>IF(B496="","",ROW()-4)</f>
        <v/>
      </c>
      <c r="B496" s="15" t="n"/>
      <c r="C496" s="20">
        <f>IF(B496="","",IFERROR(VLOOKUP(B496,'📦产品库'!$B$4:$D$9999,2,0),"⚠️未找到"))</f>
        <v/>
      </c>
      <c r="D496" s="21">
        <f>IF(B496="","",IFERROR(VLOOKUP(B496,'📦产品库'!$B$4:$E$9999,4,0),""))</f>
        <v/>
      </c>
      <c r="E496" s="21">
        <f>IF(B496="","",IFERROR(VLOOKUP(B496,'📦产品库'!$B$4:$F$9999,5,0),""))</f>
        <v/>
      </c>
      <c r="F496" s="22">
        <f>IF(B496="","",IFERROR(VLOOKUP(B496,'📦产品库'!$B$4:$G$9999,6,0),""))</f>
        <v/>
      </c>
      <c r="G496" s="16" t="n"/>
      <c r="H496" s="23">
        <f>IF(B496="","",1)</f>
        <v/>
      </c>
      <c r="I496" s="17">
        <f>IF(B496="","",IF(G496&lt;&gt;"",G496*H496,F496*H496))</f>
        <v/>
      </c>
      <c r="J496" s="24" t="n"/>
      <c r="K496" s="18">
        <f>IF(B496="","",IF(G496&gt;=2000,20,IF(G496&gt;=1000,10,0)))</f>
        <v/>
      </c>
      <c r="L496" s="27" t="n"/>
    </row>
    <row r="497" ht="18" customHeight="1">
      <c r="A497" s="19">
        <f>IF(B497="","",ROW()-4)</f>
        <v/>
      </c>
      <c r="B497" s="15" t="n"/>
      <c r="C497" s="20">
        <f>IF(B497="","",IFERROR(VLOOKUP(B497,'📦产品库'!$B$4:$D$9999,2,0),"⚠️未找到"))</f>
        <v/>
      </c>
      <c r="D497" s="21">
        <f>IF(B497="","",IFERROR(VLOOKUP(B497,'📦产品库'!$B$4:$E$9999,4,0),""))</f>
        <v/>
      </c>
      <c r="E497" s="21">
        <f>IF(B497="","",IFERROR(VLOOKUP(B497,'📦产品库'!$B$4:$F$9999,5,0),""))</f>
        <v/>
      </c>
      <c r="F497" s="22">
        <f>IF(B497="","",IFERROR(VLOOKUP(B497,'📦产品库'!$B$4:$G$9999,6,0),""))</f>
        <v/>
      </c>
      <c r="G497" s="16" t="n"/>
      <c r="H497" s="23">
        <f>IF(B497="","",1)</f>
        <v/>
      </c>
      <c r="I497" s="17">
        <f>IF(B497="","",IF(G497&lt;&gt;"",G497*H497,F497*H497))</f>
        <v/>
      </c>
      <c r="J497" s="24" t="n"/>
      <c r="K497" s="18">
        <f>IF(B497="","",IF(G497&gt;=2000,20,IF(G497&gt;=1000,10,0)))</f>
        <v/>
      </c>
      <c r="L497" s="25" t="n"/>
    </row>
    <row r="498" ht="18" customHeight="1">
      <c r="A498" s="26">
        <f>IF(B498="","",ROW()-4)</f>
        <v/>
      </c>
      <c r="B498" s="15" t="n"/>
      <c r="C498" s="20">
        <f>IF(B498="","",IFERROR(VLOOKUP(B498,'📦产品库'!$B$4:$D$9999,2,0),"⚠️未找到"))</f>
        <v/>
      </c>
      <c r="D498" s="21">
        <f>IF(B498="","",IFERROR(VLOOKUP(B498,'📦产品库'!$B$4:$E$9999,4,0),""))</f>
        <v/>
      </c>
      <c r="E498" s="21">
        <f>IF(B498="","",IFERROR(VLOOKUP(B498,'📦产品库'!$B$4:$F$9999,5,0),""))</f>
        <v/>
      </c>
      <c r="F498" s="22">
        <f>IF(B498="","",IFERROR(VLOOKUP(B498,'📦产品库'!$B$4:$G$9999,6,0),""))</f>
        <v/>
      </c>
      <c r="G498" s="16" t="n"/>
      <c r="H498" s="23">
        <f>IF(B498="","",1)</f>
        <v/>
      </c>
      <c r="I498" s="17">
        <f>IF(B498="","",IF(G498&lt;&gt;"",G498*H498,F498*H498))</f>
        <v/>
      </c>
      <c r="J498" s="24" t="n"/>
      <c r="K498" s="18">
        <f>IF(B498="","",IF(G498&gt;=2000,20,IF(G498&gt;=1000,10,0)))</f>
        <v/>
      </c>
      <c r="L498" s="27" t="n"/>
    </row>
    <row r="499" ht="18" customHeight="1">
      <c r="A499" s="19">
        <f>IF(B499="","",ROW()-4)</f>
        <v/>
      </c>
      <c r="B499" s="15" t="n"/>
      <c r="C499" s="20">
        <f>IF(B499="","",IFERROR(VLOOKUP(B499,'📦产品库'!$B$4:$D$9999,2,0),"⚠️未找到"))</f>
        <v/>
      </c>
      <c r="D499" s="21">
        <f>IF(B499="","",IFERROR(VLOOKUP(B499,'📦产品库'!$B$4:$E$9999,4,0),""))</f>
        <v/>
      </c>
      <c r="E499" s="21">
        <f>IF(B499="","",IFERROR(VLOOKUP(B499,'📦产品库'!$B$4:$F$9999,5,0),""))</f>
        <v/>
      </c>
      <c r="F499" s="22">
        <f>IF(B499="","",IFERROR(VLOOKUP(B499,'📦产品库'!$B$4:$G$9999,6,0),""))</f>
        <v/>
      </c>
      <c r="G499" s="16" t="n"/>
      <c r="H499" s="23">
        <f>IF(B499="","",1)</f>
        <v/>
      </c>
      <c r="I499" s="17">
        <f>IF(B499="","",IF(G499&lt;&gt;"",G499*H499,F499*H499))</f>
        <v/>
      </c>
      <c r="J499" s="24" t="n"/>
      <c r="K499" s="18">
        <f>IF(B499="","",IF(G499&gt;=2000,20,IF(G499&gt;=1000,10,0)))</f>
        <v/>
      </c>
      <c r="L499" s="25" t="n"/>
    </row>
    <row r="500" ht="18" customHeight="1">
      <c r="A500" s="26">
        <f>IF(B500="","",ROW()-4)</f>
        <v/>
      </c>
      <c r="B500" s="15" t="n"/>
      <c r="C500" s="20">
        <f>IF(B500="","",IFERROR(VLOOKUP(B500,'📦产品库'!$B$4:$D$9999,2,0),"⚠️未找到"))</f>
        <v/>
      </c>
      <c r="D500" s="21">
        <f>IF(B500="","",IFERROR(VLOOKUP(B500,'📦产品库'!$B$4:$E$9999,4,0),""))</f>
        <v/>
      </c>
      <c r="E500" s="21">
        <f>IF(B500="","",IFERROR(VLOOKUP(B500,'📦产品库'!$B$4:$F$9999,5,0),""))</f>
        <v/>
      </c>
      <c r="F500" s="22">
        <f>IF(B500="","",IFERROR(VLOOKUP(B500,'📦产品库'!$B$4:$G$9999,6,0),""))</f>
        <v/>
      </c>
      <c r="G500" s="16" t="n"/>
      <c r="H500" s="23">
        <f>IF(B500="","",1)</f>
        <v/>
      </c>
      <c r="I500" s="17">
        <f>IF(B500="","",IF(G500&lt;&gt;"",G500*H500,F500*H500))</f>
        <v/>
      </c>
      <c r="J500" s="24" t="n"/>
      <c r="K500" s="18">
        <f>IF(B500="","",IF(G500&gt;=2000,20,IF(G500&gt;=1000,10,0)))</f>
        <v/>
      </c>
      <c r="L500" s="27" t="n"/>
    </row>
    <row r="501" ht="18" customHeight="1">
      <c r="A501" s="19">
        <f>IF(B501="","",ROW()-4)</f>
        <v/>
      </c>
      <c r="B501" s="15" t="n"/>
      <c r="C501" s="20">
        <f>IF(B501="","",IFERROR(VLOOKUP(B501,'📦产品库'!$B$4:$D$9999,2,0),"⚠️未找到"))</f>
        <v/>
      </c>
      <c r="D501" s="21">
        <f>IF(B501="","",IFERROR(VLOOKUP(B501,'📦产品库'!$B$4:$E$9999,4,0),""))</f>
        <v/>
      </c>
      <c r="E501" s="21">
        <f>IF(B501="","",IFERROR(VLOOKUP(B501,'📦产品库'!$B$4:$F$9999,5,0),""))</f>
        <v/>
      </c>
      <c r="F501" s="22">
        <f>IF(B501="","",IFERROR(VLOOKUP(B501,'📦产品库'!$B$4:$G$9999,6,0),""))</f>
        <v/>
      </c>
      <c r="G501" s="16" t="n"/>
      <c r="H501" s="23">
        <f>IF(B501="","",1)</f>
        <v/>
      </c>
      <c r="I501" s="17">
        <f>IF(B501="","",IF(G501&lt;&gt;"",G501*H501,F501*H501))</f>
        <v/>
      </c>
      <c r="J501" s="24" t="n"/>
      <c r="K501" s="18">
        <f>IF(B501="","",IF(G501&gt;=2000,20,IF(G501&gt;=1000,10,0)))</f>
        <v/>
      </c>
      <c r="L501" s="25" t="n"/>
    </row>
    <row r="502" ht="18" customHeight="1">
      <c r="A502" s="26">
        <f>IF(B502="","",ROW()-4)</f>
        <v/>
      </c>
      <c r="B502" s="15" t="n"/>
      <c r="C502" s="20">
        <f>IF(B502="","",IFERROR(VLOOKUP(B502,'📦产品库'!$B$4:$D$9999,2,0),"⚠️未找到"))</f>
        <v/>
      </c>
      <c r="D502" s="21">
        <f>IF(B502="","",IFERROR(VLOOKUP(B502,'📦产品库'!$B$4:$E$9999,4,0),""))</f>
        <v/>
      </c>
      <c r="E502" s="21">
        <f>IF(B502="","",IFERROR(VLOOKUP(B502,'📦产品库'!$B$4:$F$9999,5,0),""))</f>
        <v/>
      </c>
      <c r="F502" s="22">
        <f>IF(B502="","",IFERROR(VLOOKUP(B502,'📦产品库'!$B$4:$G$9999,6,0),""))</f>
        <v/>
      </c>
      <c r="G502" s="16" t="n"/>
      <c r="H502" s="23">
        <f>IF(B502="","",1)</f>
        <v/>
      </c>
      <c r="I502" s="17">
        <f>IF(B502="","",IF(G502&lt;&gt;"",G502*H502,F502*H502))</f>
        <v/>
      </c>
      <c r="J502" s="24" t="n"/>
      <c r="K502" s="18">
        <f>IF(B502="","",IF(G502&gt;=2000,20,IF(G502&gt;=1000,10,0)))</f>
        <v/>
      </c>
      <c r="L502" s="27" t="n"/>
    </row>
    <row r="503" ht="18" customHeight="1">
      <c r="A503" s="19">
        <f>IF(B503="","",ROW()-4)</f>
        <v/>
      </c>
      <c r="B503" s="15" t="n"/>
      <c r="C503" s="20">
        <f>IF(B503="","",IFERROR(VLOOKUP(B503,'📦产品库'!$B$4:$D$9999,2,0),"⚠️未找到"))</f>
        <v/>
      </c>
      <c r="D503" s="21">
        <f>IF(B503="","",IFERROR(VLOOKUP(B503,'📦产品库'!$B$4:$E$9999,4,0),""))</f>
        <v/>
      </c>
      <c r="E503" s="21">
        <f>IF(B503="","",IFERROR(VLOOKUP(B503,'📦产品库'!$B$4:$F$9999,5,0),""))</f>
        <v/>
      </c>
      <c r="F503" s="22">
        <f>IF(B503="","",IFERROR(VLOOKUP(B503,'📦产品库'!$B$4:$G$9999,6,0),""))</f>
        <v/>
      </c>
      <c r="G503" s="16" t="n"/>
      <c r="H503" s="23">
        <f>IF(B503="","",1)</f>
        <v/>
      </c>
      <c r="I503" s="17">
        <f>IF(B503="","",IF(G503&lt;&gt;"",G503*H503,F503*H503))</f>
        <v/>
      </c>
      <c r="J503" s="24" t="n"/>
      <c r="K503" s="18">
        <f>IF(B503="","",IF(G503&gt;=2000,20,IF(G503&gt;=1000,10,0)))</f>
        <v/>
      </c>
      <c r="L503" s="25" t="n"/>
    </row>
    <row r="504" ht="18" customHeight="1">
      <c r="A504" s="26">
        <f>IF(B504="","",ROW()-4)</f>
        <v/>
      </c>
      <c r="B504" s="15" t="n"/>
      <c r="C504" s="20">
        <f>IF(B504="","",IFERROR(VLOOKUP(B504,'📦产品库'!$B$4:$D$9999,2,0),"⚠️未找到"))</f>
        <v/>
      </c>
      <c r="D504" s="21">
        <f>IF(B504="","",IFERROR(VLOOKUP(B504,'📦产品库'!$B$4:$E$9999,4,0),""))</f>
        <v/>
      </c>
      <c r="E504" s="21">
        <f>IF(B504="","",IFERROR(VLOOKUP(B504,'📦产品库'!$B$4:$F$9999,5,0),""))</f>
        <v/>
      </c>
      <c r="F504" s="22">
        <f>IF(B504="","",IFERROR(VLOOKUP(B504,'📦产品库'!$B$4:$G$9999,6,0),""))</f>
        <v/>
      </c>
      <c r="G504" s="16" t="n"/>
      <c r="H504" s="23">
        <f>IF(B504="","",1)</f>
        <v/>
      </c>
      <c r="I504" s="17">
        <f>IF(B504="","",IF(G504&lt;&gt;"",G504*H504,F504*H504))</f>
        <v/>
      </c>
      <c r="J504" s="24" t="n"/>
      <c r="K504" s="18">
        <f>IF(B504="","",IF(G504&gt;=2000,20,IF(G504&gt;=1000,10,0)))</f>
        <v/>
      </c>
      <c r="L504" s="27" t="n"/>
    </row>
    <row r="505" ht="26" customHeight="1">
      <c r="A505" s="28" t="inlineStr">
        <is>
          <t>当日合计</t>
        </is>
      </c>
      <c r="H505" s="29">
        <f>SUM(H5:H504)</f>
        <v/>
      </c>
      <c r="I505" s="30">
        <f>SUM(I5:I504)</f>
        <v/>
      </c>
      <c r="K505" s="31">
        <f>MIN(SUM(K5:K504),40)</f>
        <v/>
      </c>
    </row>
  </sheetData>
  <autoFilter ref="A4:L4"/>
  <mergeCells count="3">
    <mergeCell ref="A505:F505"/>
    <mergeCell ref="A3:N3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8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3" customWidth="1" min="10" max="10"/>
    <col width="13" customWidth="1" min="11" max="11"/>
    <col width="20" customWidth="1" min="12" max="12"/>
  </cols>
  <sheetData>
    <row r="1" ht="28" customHeight="1">
      <c r="A1" s="1" t="inlineStr">
        <is>
          <t>💰 薪资计算  |  日薪阶梯 + 阶梯提成 + 大单奖励</t>
        </is>
      </c>
    </row>
    <row r="2" ht="20" customHeight="1">
      <c r="A2" s="2" t="inlineStr">
        <is>
          <t>📌 参数区（黄色格子可修改）  |  蓝色格子为自动计算结果，请勿手动填写</t>
        </is>
      </c>
    </row>
    <row r="3" ht="22" customHeight="1">
      <c r="A3" s="32" t="inlineStr">
        <is>
          <t>── 薪资参数设置 ──</t>
        </is>
      </c>
      <c r="G3" s="33" t="inlineStr">
        <is>
          <t>── 提成阶梯（按当日店铺总销售额） ──</t>
        </is>
      </c>
    </row>
    <row r="4" ht="22" customHeight="1">
      <c r="A4" s="34" t="inlineStr">
        <is>
          <t>统计月份：</t>
        </is>
      </c>
      <c r="B4" s="35" t="inlineStr">
        <is>
          <t>2026-04</t>
        </is>
      </c>
      <c r="C4" s="36" t="inlineStr">
        <is>
          <t>日薪说明：
• 新手期（入职~2周）：¥260/天
• 稳定期（满2周后）：¥280/天
• 熟练期（稳定达标满2周）：¥300/天
达标标准：
• 周中日均 ≥ 2200–2600
• 周末/活动日 ≥ 6500–8000
经营底线：
• 周中持续低于1200需复盘
• 周末持续低于4000需复盘</t>
        </is>
      </c>
      <c r="G4" s="37" t="inlineStr">
        <is>
          <t>销售区间下限(¥)</t>
        </is>
      </c>
      <c r="H4" s="37" t="inlineStr">
        <is>
          <t>销售区间上限(¥)</t>
        </is>
      </c>
      <c r="I4" s="37" t="inlineStr">
        <is>
          <t>提成比例</t>
        </is>
      </c>
      <c r="J4" s="37" t="inlineStr">
        <is>
          <t>说明</t>
        </is>
      </c>
    </row>
    <row r="5" ht="22" customHeight="1">
      <c r="A5" s="34" t="inlineStr">
        <is>
          <t>店员A姓名：</t>
        </is>
      </c>
      <c r="B5" s="38" t="inlineStr">
        <is>
          <t>店员A</t>
        </is>
      </c>
      <c r="G5" s="39" t="n">
        <v>0</v>
      </c>
      <c r="H5" s="39" t="n">
        <v>3000</v>
      </c>
      <c r="I5" s="40" t="n">
        <v>0.02</v>
      </c>
      <c r="J5" s="41" t="inlineStr">
        <is>
          <t>0–3000</t>
        </is>
      </c>
    </row>
    <row r="6" ht="22" customHeight="1">
      <c r="A6" s="34" t="inlineStr">
        <is>
          <t>店员B姓名：</t>
        </is>
      </c>
      <c r="B6" s="38" t="inlineStr">
        <is>
          <t>店员B</t>
        </is>
      </c>
      <c r="G6" s="39" t="n">
        <v>3000</v>
      </c>
      <c r="H6" s="39" t="n">
        <v>6000</v>
      </c>
      <c r="I6" s="40" t="n">
        <v>0.025</v>
      </c>
      <c r="J6" s="41" t="inlineStr">
        <is>
          <t>3001–6000</t>
        </is>
      </c>
    </row>
    <row r="7" ht="22" customHeight="1">
      <c r="A7" s="34" t="inlineStr">
        <is>
          <t>新手期日薪(¥)：</t>
        </is>
      </c>
      <c r="B7" s="16" t="n">
        <v>260</v>
      </c>
      <c r="G7" s="39" t="n">
        <v>6000</v>
      </c>
      <c r="H7" s="39" t="n">
        <v>10000</v>
      </c>
      <c r="I7" s="40" t="n">
        <v>0.03</v>
      </c>
      <c r="J7" s="41" t="inlineStr">
        <is>
          <t>6001–10000</t>
        </is>
      </c>
    </row>
    <row r="8" ht="22" customHeight="1">
      <c r="A8" s="34" t="inlineStr">
        <is>
          <t>稳定期日薪(¥)：</t>
        </is>
      </c>
      <c r="B8" s="16" t="n">
        <v>280</v>
      </c>
      <c r="G8" s="39" t="n">
        <v>10000</v>
      </c>
      <c r="H8" s="39" t="inlineStr">
        <is>
          <t>无上限</t>
        </is>
      </c>
      <c r="I8" s="40" t="n">
        <v>0.04</v>
      </c>
      <c r="J8" s="41" t="inlineStr">
        <is>
          <t>10000以上</t>
        </is>
      </c>
    </row>
    <row r="9" ht="22" customHeight="1">
      <c r="A9" s="34" t="inlineStr">
        <is>
          <t>熟练期日薪(¥)：</t>
        </is>
      </c>
      <c r="B9" s="16" t="n">
        <v>300</v>
      </c>
      <c r="G9" s="42" t="inlineStr">
        <is>
          <t>提成分配规则：
• 一人当班：提成全部归个人
• 两人当班：提成池平均分配
• 我(老板)和小何不参与提成
大单奖励（归成交人，不平分）：
• 单笔 ≥1000：+¥10
• 单笔 ≥2000：+¥20（取最高档）
• 每日最多计2笔大单</t>
        </is>
      </c>
    </row>
    <row r="10" ht="22" customHeight="1">
      <c r="A10" s="34" t="inlineStr">
        <is>
          <t>大单奖励≥1000(¥)：</t>
        </is>
      </c>
      <c r="B10" s="16" t="n">
        <v>10</v>
      </c>
    </row>
    <row r="11" ht="22" customHeight="1">
      <c r="A11" s="34" t="inlineStr">
        <is>
          <t>大单奖励≥2000(¥)：</t>
        </is>
      </c>
      <c r="B11" s="16" t="n">
        <v>20</v>
      </c>
    </row>
    <row r="12" ht="22" customHeight="1">
      <c r="A12" s="34" t="inlineStr">
        <is>
          <t>每日大单上限(笔)：</t>
        </is>
      </c>
      <c r="B12" s="43" t="n">
        <v>2</v>
      </c>
    </row>
    <row r="14" ht="22" customHeight="1">
      <c r="A14" s="32" t="inlineStr">
        <is>
          <t>── 每日销售明细（手动录入当日数据） ──</t>
        </is>
      </c>
    </row>
    <row r="15" ht="34" customHeight="1">
      <c r="A15" s="44" t="inlineStr">
        <is>
          <t>日期</t>
        </is>
      </c>
      <c r="B15" s="44" t="inlineStr">
        <is>
          <t>星期</t>
        </is>
      </c>
      <c r="C15" s="44" t="inlineStr">
        <is>
          <t>当班
人员</t>
        </is>
      </c>
      <c r="D15" s="44" t="inlineStr">
        <is>
          <t>当班
人数</t>
        </is>
      </c>
      <c r="E15" s="44" t="inlineStr">
        <is>
          <t>店铺
总销售额(¥)</t>
        </is>
      </c>
      <c r="F15" s="44" t="inlineStr">
        <is>
          <t>提成池(¥)</t>
        </is>
      </c>
      <c r="G15" s="44" t="inlineStr">
        <is>
          <t>人均
提成(¥)</t>
        </is>
      </c>
      <c r="H15" s="44" t="inlineStr">
        <is>
          <t>店员A
大单奖励(¥)</t>
        </is>
      </c>
      <c r="I15" s="44" t="inlineStr">
        <is>
          <t>店员B
大单奖励(¥)</t>
        </is>
      </c>
      <c r="J15" s="44" t="inlineStr">
        <is>
          <t>店员A
日薪档(¥)</t>
        </is>
      </c>
      <c r="K15" s="44" t="inlineStr">
        <is>
          <t>店员B
日薪档(¥)</t>
        </is>
      </c>
      <c r="L15" s="44" t="inlineStr">
        <is>
          <t>备注/达标情况</t>
        </is>
      </c>
    </row>
    <row r="16" ht="20" customHeight="1">
      <c r="A16" s="45" t="n"/>
      <c r="B16" s="21">
        <f>IF(A16="","",TEXT(A16,"AAA"))</f>
        <v/>
      </c>
      <c r="C16" s="24" t="n"/>
      <c r="D16" s="46">
        <f>IF(C16="","",IF(ISERROR(FIND(",",C16)),1,LEN(C16)-LEN(SUBSTITUTE(C16,",",""))+1))</f>
        <v/>
      </c>
      <c r="E16" s="47" t="n"/>
      <c r="F16" s="48">
        <f>IF(E16="","",IF(E16&lt;=0,0,IF(E16&lt;=3000,E16*0.02,IF(E16&lt;=6000,E16*0.025,IF(E16&lt;=10000,E16*0.03,E16*0.04)))))</f>
        <v/>
      </c>
      <c r="G16" s="49">
        <f>IF(OR(E16="",D16=""),"",IFERROR(F16/D16,F16))</f>
        <v/>
      </c>
      <c r="H16" s="50" t="n"/>
      <c r="I16" s="50" t="n"/>
      <c r="J16" s="16" t="n">
        <v>260</v>
      </c>
      <c r="K16" s="16" t="n">
        <v>260</v>
      </c>
      <c r="L16" s="51" t="n"/>
    </row>
    <row r="17" ht="20" customHeight="1">
      <c r="A17" s="45" t="n"/>
      <c r="B17" s="21">
        <f>IF(A17="","",TEXT(A17,"AAA"))</f>
        <v/>
      </c>
      <c r="C17" s="24" t="n"/>
      <c r="D17" s="46">
        <f>IF(C17="","",IF(ISERROR(FIND(",",C17)),1,LEN(C17)-LEN(SUBSTITUTE(C17,",",""))+1))</f>
        <v/>
      </c>
      <c r="E17" s="47" t="n"/>
      <c r="F17" s="48">
        <f>IF(E17="","",IF(E17&lt;=0,0,IF(E17&lt;=3000,E17*0.02,IF(E17&lt;=6000,E17*0.025,IF(E17&lt;=10000,E17*0.03,E17*0.04)))))</f>
        <v/>
      </c>
      <c r="G17" s="49">
        <f>IF(OR(E17="",D17=""),"",IFERROR(F17/D17,F17))</f>
        <v/>
      </c>
      <c r="H17" s="50" t="n"/>
      <c r="I17" s="50" t="n"/>
      <c r="J17" s="16" t="n">
        <v>260</v>
      </c>
      <c r="K17" s="16" t="n">
        <v>260</v>
      </c>
      <c r="L17" s="52" t="n"/>
    </row>
    <row r="18" ht="20" customHeight="1">
      <c r="A18" s="45" t="n"/>
      <c r="B18" s="21">
        <f>IF(A18="","",TEXT(A18,"AAA"))</f>
        <v/>
      </c>
      <c r="C18" s="24" t="n"/>
      <c r="D18" s="46">
        <f>IF(C18="","",IF(ISERROR(FIND(",",C18)),1,LEN(C18)-LEN(SUBSTITUTE(C18,",",""))+1))</f>
        <v/>
      </c>
      <c r="E18" s="47" t="n"/>
      <c r="F18" s="48">
        <f>IF(E18="","",IF(E18&lt;=0,0,IF(E18&lt;=3000,E18*0.02,IF(E18&lt;=6000,E18*0.025,IF(E18&lt;=10000,E18*0.03,E18*0.04)))))</f>
        <v/>
      </c>
      <c r="G18" s="49">
        <f>IF(OR(E18="",D18=""),"",IFERROR(F18/D18,F18))</f>
        <v/>
      </c>
      <c r="H18" s="50" t="n"/>
      <c r="I18" s="50" t="n"/>
      <c r="J18" s="16" t="n">
        <v>260</v>
      </c>
      <c r="K18" s="16" t="n">
        <v>260</v>
      </c>
      <c r="L18" s="51" t="n"/>
    </row>
    <row r="19" ht="20" customHeight="1">
      <c r="A19" s="45" t="n"/>
      <c r="B19" s="21">
        <f>IF(A19="","",TEXT(A19,"AAA"))</f>
        <v/>
      </c>
      <c r="C19" s="24" t="n"/>
      <c r="D19" s="46">
        <f>IF(C19="","",IF(ISERROR(FIND(",",C19)),1,LEN(C19)-LEN(SUBSTITUTE(C19,",",""))+1))</f>
        <v/>
      </c>
      <c r="E19" s="47" t="n"/>
      <c r="F19" s="48">
        <f>IF(E19="","",IF(E19&lt;=0,0,IF(E19&lt;=3000,E19*0.02,IF(E19&lt;=6000,E19*0.025,IF(E19&lt;=10000,E19*0.03,E19*0.04)))))</f>
        <v/>
      </c>
      <c r="G19" s="49">
        <f>IF(OR(E19="",D19=""),"",IFERROR(F19/D19,F19))</f>
        <v/>
      </c>
      <c r="H19" s="50" t="n"/>
      <c r="I19" s="50" t="n"/>
      <c r="J19" s="16" t="n">
        <v>260</v>
      </c>
      <c r="K19" s="16" t="n">
        <v>260</v>
      </c>
      <c r="L19" s="52" t="n"/>
    </row>
    <row r="20" ht="20" customHeight="1">
      <c r="A20" s="45" t="n"/>
      <c r="B20" s="21">
        <f>IF(A20="","",TEXT(A20,"AAA"))</f>
        <v/>
      </c>
      <c r="C20" s="24" t="n"/>
      <c r="D20" s="46">
        <f>IF(C20="","",IF(ISERROR(FIND(",",C20)),1,LEN(C20)-LEN(SUBSTITUTE(C20,",",""))+1))</f>
        <v/>
      </c>
      <c r="E20" s="47" t="n"/>
      <c r="F20" s="48">
        <f>IF(E20="","",IF(E20&lt;=0,0,IF(E20&lt;=3000,E20*0.02,IF(E20&lt;=6000,E20*0.025,IF(E20&lt;=10000,E20*0.03,E20*0.04)))))</f>
        <v/>
      </c>
      <c r="G20" s="49">
        <f>IF(OR(E20="",D20=""),"",IFERROR(F20/D20,F20))</f>
        <v/>
      </c>
      <c r="H20" s="50" t="n"/>
      <c r="I20" s="50" t="n"/>
      <c r="J20" s="16" t="n">
        <v>260</v>
      </c>
      <c r="K20" s="16" t="n">
        <v>260</v>
      </c>
      <c r="L20" s="51" t="n"/>
    </row>
    <row r="21" ht="20" customHeight="1">
      <c r="A21" s="45" t="n"/>
      <c r="B21" s="21">
        <f>IF(A21="","",TEXT(A21,"AAA"))</f>
        <v/>
      </c>
      <c r="C21" s="24" t="n"/>
      <c r="D21" s="46">
        <f>IF(C21="","",IF(ISERROR(FIND(",",C21)),1,LEN(C21)-LEN(SUBSTITUTE(C21,",",""))+1))</f>
        <v/>
      </c>
      <c r="E21" s="47" t="n"/>
      <c r="F21" s="48">
        <f>IF(E21="","",IF(E21&lt;=0,0,IF(E21&lt;=3000,E21*0.02,IF(E21&lt;=6000,E21*0.025,IF(E21&lt;=10000,E21*0.03,E21*0.04)))))</f>
        <v/>
      </c>
      <c r="G21" s="49">
        <f>IF(OR(E21="",D21=""),"",IFERROR(F21/D21,F21))</f>
        <v/>
      </c>
      <c r="H21" s="50" t="n"/>
      <c r="I21" s="50" t="n"/>
      <c r="J21" s="16" t="n">
        <v>260</v>
      </c>
      <c r="K21" s="16" t="n">
        <v>260</v>
      </c>
      <c r="L21" s="52" t="n"/>
    </row>
    <row r="22" ht="20" customHeight="1">
      <c r="A22" s="45" t="n"/>
      <c r="B22" s="21">
        <f>IF(A22="","",TEXT(A22,"AAA"))</f>
        <v/>
      </c>
      <c r="C22" s="24" t="n"/>
      <c r="D22" s="46">
        <f>IF(C22="","",IF(ISERROR(FIND(",",C22)),1,LEN(C22)-LEN(SUBSTITUTE(C22,",",""))+1))</f>
        <v/>
      </c>
      <c r="E22" s="47" t="n"/>
      <c r="F22" s="48">
        <f>IF(E22="","",IF(E22&lt;=0,0,IF(E22&lt;=3000,E22*0.02,IF(E22&lt;=6000,E22*0.025,IF(E22&lt;=10000,E22*0.03,E22*0.04)))))</f>
        <v/>
      </c>
      <c r="G22" s="49">
        <f>IF(OR(E22="",D22=""),"",IFERROR(F22/D22,F22))</f>
        <v/>
      </c>
      <c r="H22" s="50" t="n"/>
      <c r="I22" s="50" t="n"/>
      <c r="J22" s="16" t="n">
        <v>260</v>
      </c>
      <c r="K22" s="16" t="n">
        <v>260</v>
      </c>
      <c r="L22" s="51" t="n"/>
    </row>
    <row r="23" ht="20" customHeight="1">
      <c r="A23" s="45" t="n"/>
      <c r="B23" s="21">
        <f>IF(A23="","",TEXT(A23,"AAA"))</f>
        <v/>
      </c>
      <c r="C23" s="24" t="n"/>
      <c r="D23" s="46">
        <f>IF(C23="","",IF(ISERROR(FIND(",",C23)),1,LEN(C23)-LEN(SUBSTITUTE(C23,",",""))+1))</f>
        <v/>
      </c>
      <c r="E23" s="47" t="n"/>
      <c r="F23" s="48">
        <f>IF(E23="","",IF(E23&lt;=0,0,IF(E23&lt;=3000,E23*0.02,IF(E23&lt;=6000,E23*0.025,IF(E23&lt;=10000,E23*0.03,E23*0.04)))))</f>
        <v/>
      </c>
      <c r="G23" s="49">
        <f>IF(OR(E23="",D23=""),"",IFERROR(F23/D23,F23))</f>
        <v/>
      </c>
      <c r="H23" s="50" t="n"/>
      <c r="I23" s="50" t="n"/>
      <c r="J23" s="16" t="n">
        <v>260</v>
      </c>
      <c r="K23" s="16" t="n">
        <v>260</v>
      </c>
      <c r="L23" s="52" t="n"/>
    </row>
    <row r="24" ht="20" customHeight="1">
      <c r="A24" s="45" t="n"/>
      <c r="B24" s="21">
        <f>IF(A24="","",TEXT(A24,"AAA"))</f>
        <v/>
      </c>
      <c r="C24" s="24" t="n"/>
      <c r="D24" s="46">
        <f>IF(C24="","",IF(ISERROR(FIND(",",C24)),1,LEN(C24)-LEN(SUBSTITUTE(C24,",",""))+1))</f>
        <v/>
      </c>
      <c r="E24" s="47" t="n"/>
      <c r="F24" s="48">
        <f>IF(E24="","",IF(E24&lt;=0,0,IF(E24&lt;=3000,E24*0.02,IF(E24&lt;=6000,E24*0.025,IF(E24&lt;=10000,E24*0.03,E24*0.04)))))</f>
        <v/>
      </c>
      <c r="G24" s="49">
        <f>IF(OR(E24="",D24=""),"",IFERROR(F24/D24,F24))</f>
        <v/>
      </c>
      <c r="H24" s="50" t="n"/>
      <c r="I24" s="50" t="n"/>
      <c r="J24" s="16" t="n">
        <v>260</v>
      </c>
      <c r="K24" s="16" t="n">
        <v>260</v>
      </c>
      <c r="L24" s="51" t="n"/>
    </row>
    <row r="25" ht="20" customHeight="1">
      <c r="A25" s="45" t="n"/>
      <c r="B25" s="21">
        <f>IF(A25="","",TEXT(A25,"AAA"))</f>
        <v/>
      </c>
      <c r="C25" s="24" t="n"/>
      <c r="D25" s="46">
        <f>IF(C25="","",IF(ISERROR(FIND(",",C25)),1,LEN(C25)-LEN(SUBSTITUTE(C25,",",""))+1))</f>
        <v/>
      </c>
      <c r="E25" s="47" t="n"/>
      <c r="F25" s="48">
        <f>IF(E25="","",IF(E25&lt;=0,0,IF(E25&lt;=3000,E25*0.02,IF(E25&lt;=6000,E25*0.025,IF(E25&lt;=10000,E25*0.03,E25*0.04)))))</f>
        <v/>
      </c>
      <c r="G25" s="49">
        <f>IF(OR(E25="",D25=""),"",IFERROR(F25/D25,F25))</f>
        <v/>
      </c>
      <c r="H25" s="50" t="n"/>
      <c r="I25" s="50" t="n"/>
      <c r="J25" s="16" t="n">
        <v>260</v>
      </c>
      <c r="K25" s="16" t="n">
        <v>260</v>
      </c>
      <c r="L25" s="52" t="n"/>
    </row>
    <row r="26" ht="20" customHeight="1">
      <c r="A26" s="45" t="n"/>
      <c r="B26" s="21">
        <f>IF(A26="","",TEXT(A26,"AAA"))</f>
        <v/>
      </c>
      <c r="C26" s="24" t="n"/>
      <c r="D26" s="46">
        <f>IF(C26="","",IF(ISERROR(FIND(",",C26)),1,LEN(C26)-LEN(SUBSTITUTE(C26,",",""))+1))</f>
        <v/>
      </c>
      <c r="E26" s="47" t="n"/>
      <c r="F26" s="48">
        <f>IF(E26="","",IF(E26&lt;=0,0,IF(E26&lt;=3000,E26*0.02,IF(E26&lt;=6000,E26*0.025,IF(E26&lt;=10000,E26*0.03,E26*0.04)))))</f>
        <v/>
      </c>
      <c r="G26" s="49">
        <f>IF(OR(E26="",D26=""),"",IFERROR(F26/D26,F26))</f>
        <v/>
      </c>
      <c r="H26" s="50" t="n"/>
      <c r="I26" s="50" t="n"/>
      <c r="J26" s="16" t="n">
        <v>260</v>
      </c>
      <c r="K26" s="16" t="n">
        <v>260</v>
      </c>
      <c r="L26" s="51" t="n"/>
    </row>
    <row r="27" ht="20" customHeight="1">
      <c r="A27" s="45" t="n"/>
      <c r="B27" s="21">
        <f>IF(A27="","",TEXT(A27,"AAA"))</f>
        <v/>
      </c>
      <c r="C27" s="24" t="n"/>
      <c r="D27" s="46">
        <f>IF(C27="","",IF(ISERROR(FIND(",",C27)),1,LEN(C27)-LEN(SUBSTITUTE(C27,",",""))+1))</f>
        <v/>
      </c>
      <c r="E27" s="47" t="n"/>
      <c r="F27" s="48">
        <f>IF(E27="","",IF(E27&lt;=0,0,IF(E27&lt;=3000,E27*0.02,IF(E27&lt;=6000,E27*0.025,IF(E27&lt;=10000,E27*0.03,E27*0.04)))))</f>
        <v/>
      </c>
      <c r="G27" s="49">
        <f>IF(OR(E27="",D27=""),"",IFERROR(F27/D27,F27))</f>
        <v/>
      </c>
      <c r="H27" s="50" t="n"/>
      <c r="I27" s="50" t="n"/>
      <c r="J27" s="16" t="n">
        <v>260</v>
      </c>
      <c r="K27" s="16" t="n">
        <v>260</v>
      </c>
      <c r="L27" s="52" t="n"/>
    </row>
    <row r="28" ht="20" customHeight="1">
      <c r="A28" s="45" t="n"/>
      <c r="B28" s="21">
        <f>IF(A28="","",TEXT(A28,"AAA"))</f>
        <v/>
      </c>
      <c r="C28" s="24" t="n"/>
      <c r="D28" s="46">
        <f>IF(C28="","",IF(ISERROR(FIND(",",C28)),1,LEN(C28)-LEN(SUBSTITUTE(C28,",",""))+1))</f>
        <v/>
      </c>
      <c r="E28" s="47" t="n"/>
      <c r="F28" s="48">
        <f>IF(E28="","",IF(E28&lt;=0,0,IF(E28&lt;=3000,E28*0.02,IF(E28&lt;=6000,E28*0.025,IF(E28&lt;=10000,E28*0.03,E28*0.04)))))</f>
        <v/>
      </c>
      <c r="G28" s="49">
        <f>IF(OR(E28="",D28=""),"",IFERROR(F28/D28,F28))</f>
        <v/>
      </c>
      <c r="H28" s="50" t="n"/>
      <c r="I28" s="50" t="n"/>
      <c r="J28" s="16" t="n">
        <v>260</v>
      </c>
      <c r="K28" s="16" t="n">
        <v>260</v>
      </c>
      <c r="L28" s="51" t="n"/>
    </row>
    <row r="29" ht="20" customHeight="1">
      <c r="A29" s="45" t="n"/>
      <c r="B29" s="21">
        <f>IF(A29="","",TEXT(A29,"AAA"))</f>
        <v/>
      </c>
      <c r="C29" s="24" t="n"/>
      <c r="D29" s="46">
        <f>IF(C29="","",IF(ISERROR(FIND(",",C29)),1,LEN(C29)-LEN(SUBSTITUTE(C29,",",""))+1))</f>
        <v/>
      </c>
      <c r="E29" s="47" t="n"/>
      <c r="F29" s="48">
        <f>IF(E29="","",IF(E29&lt;=0,0,IF(E29&lt;=3000,E29*0.02,IF(E29&lt;=6000,E29*0.025,IF(E29&lt;=10000,E29*0.03,E29*0.04)))))</f>
        <v/>
      </c>
      <c r="G29" s="49">
        <f>IF(OR(E29="",D29=""),"",IFERROR(F29/D29,F29))</f>
        <v/>
      </c>
      <c r="H29" s="50" t="n"/>
      <c r="I29" s="50" t="n"/>
      <c r="J29" s="16" t="n">
        <v>260</v>
      </c>
      <c r="K29" s="16" t="n">
        <v>260</v>
      </c>
      <c r="L29" s="52" t="n"/>
    </row>
    <row r="30" ht="20" customHeight="1">
      <c r="A30" s="45" t="n"/>
      <c r="B30" s="21">
        <f>IF(A30="","",TEXT(A30,"AAA"))</f>
        <v/>
      </c>
      <c r="C30" s="24" t="n"/>
      <c r="D30" s="46">
        <f>IF(C30="","",IF(ISERROR(FIND(",",C30)),1,LEN(C30)-LEN(SUBSTITUTE(C30,",",""))+1))</f>
        <v/>
      </c>
      <c r="E30" s="47" t="n"/>
      <c r="F30" s="48">
        <f>IF(E30="","",IF(E30&lt;=0,0,IF(E30&lt;=3000,E30*0.02,IF(E30&lt;=6000,E30*0.025,IF(E30&lt;=10000,E30*0.03,E30*0.04)))))</f>
        <v/>
      </c>
      <c r="G30" s="49">
        <f>IF(OR(E30="",D30=""),"",IFERROR(F30/D30,F30))</f>
        <v/>
      </c>
      <c r="H30" s="50" t="n"/>
      <c r="I30" s="50" t="n"/>
      <c r="J30" s="16" t="n">
        <v>260</v>
      </c>
      <c r="K30" s="16" t="n">
        <v>260</v>
      </c>
      <c r="L30" s="51" t="n"/>
    </row>
    <row r="31" ht="20" customHeight="1">
      <c r="A31" s="45" t="n"/>
      <c r="B31" s="21">
        <f>IF(A31="","",TEXT(A31,"AAA"))</f>
        <v/>
      </c>
      <c r="C31" s="24" t="n"/>
      <c r="D31" s="46">
        <f>IF(C31="","",IF(ISERROR(FIND(",",C31)),1,LEN(C31)-LEN(SUBSTITUTE(C31,",",""))+1))</f>
        <v/>
      </c>
      <c r="E31" s="47" t="n"/>
      <c r="F31" s="48">
        <f>IF(E31="","",IF(E31&lt;=0,0,IF(E31&lt;=3000,E31*0.02,IF(E31&lt;=6000,E31*0.025,IF(E31&lt;=10000,E31*0.03,E31*0.04)))))</f>
        <v/>
      </c>
      <c r="G31" s="49">
        <f>IF(OR(E31="",D31=""),"",IFERROR(F31/D31,F31))</f>
        <v/>
      </c>
      <c r="H31" s="50" t="n"/>
      <c r="I31" s="50" t="n"/>
      <c r="J31" s="16" t="n">
        <v>260</v>
      </c>
      <c r="K31" s="16" t="n">
        <v>260</v>
      </c>
      <c r="L31" s="52" t="n"/>
    </row>
    <row r="32" ht="20" customHeight="1">
      <c r="A32" s="45" t="n"/>
      <c r="B32" s="21">
        <f>IF(A32="","",TEXT(A32,"AAA"))</f>
        <v/>
      </c>
      <c r="C32" s="24" t="n"/>
      <c r="D32" s="46">
        <f>IF(C32="","",IF(ISERROR(FIND(",",C32)),1,LEN(C32)-LEN(SUBSTITUTE(C32,",",""))+1))</f>
        <v/>
      </c>
      <c r="E32" s="47" t="n"/>
      <c r="F32" s="48">
        <f>IF(E32="","",IF(E32&lt;=0,0,IF(E32&lt;=3000,E32*0.02,IF(E32&lt;=6000,E32*0.025,IF(E32&lt;=10000,E32*0.03,E32*0.04)))))</f>
        <v/>
      </c>
      <c r="G32" s="49">
        <f>IF(OR(E32="",D32=""),"",IFERROR(F32/D32,F32))</f>
        <v/>
      </c>
      <c r="H32" s="50" t="n"/>
      <c r="I32" s="50" t="n"/>
      <c r="J32" s="16" t="n">
        <v>260</v>
      </c>
      <c r="K32" s="16" t="n">
        <v>260</v>
      </c>
      <c r="L32" s="51" t="n"/>
    </row>
    <row r="33" ht="20" customHeight="1">
      <c r="A33" s="45" t="n"/>
      <c r="B33" s="21">
        <f>IF(A33="","",TEXT(A33,"AAA"))</f>
        <v/>
      </c>
      <c r="C33" s="24" t="n"/>
      <c r="D33" s="46">
        <f>IF(C33="","",IF(ISERROR(FIND(",",C33)),1,LEN(C33)-LEN(SUBSTITUTE(C33,",",""))+1))</f>
        <v/>
      </c>
      <c r="E33" s="47" t="n"/>
      <c r="F33" s="48">
        <f>IF(E33="","",IF(E33&lt;=0,0,IF(E33&lt;=3000,E33*0.02,IF(E33&lt;=6000,E33*0.025,IF(E33&lt;=10000,E33*0.03,E33*0.04)))))</f>
        <v/>
      </c>
      <c r="G33" s="49">
        <f>IF(OR(E33="",D33=""),"",IFERROR(F33/D33,F33))</f>
        <v/>
      </c>
      <c r="H33" s="50" t="n"/>
      <c r="I33" s="50" t="n"/>
      <c r="J33" s="16" t="n">
        <v>260</v>
      </c>
      <c r="K33" s="16" t="n">
        <v>260</v>
      </c>
      <c r="L33" s="52" t="n"/>
    </row>
    <row r="34" ht="20" customHeight="1">
      <c r="A34" s="45" t="n"/>
      <c r="B34" s="21">
        <f>IF(A34="","",TEXT(A34,"AAA"))</f>
        <v/>
      </c>
      <c r="C34" s="24" t="n"/>
      <c r="D34" s="46">
        <f>IF(C34="","",IF(ISERROR(FIND(",",C34)),1,LEN(C34)-LEN(SUBSTITUTE(C34,",",""))+1))</f>
        <v/>
      </c>
      <c r="E34" s="47" t="n"/>
      <c r="F34" s="48">
        <f>IF(E34="","",IF(E34&lt;=0,0,IF(E34&lt;=3000,E34*0.02,IF(E34&lt;=6000,E34*0.025,IF(E34&lt;=10000,E34*0.03,E34*0.04)))))</f>
        <v/>
      </c>
      <c r="G34" s="49">
        <f>IF(OR(E34="",D34=""),"",IFERROR(F34/D34,F34))</f>
        <v/>
      </c>
      <c r="H34" s="50" t="n"/>
      <c r="I34" s="50" t="n"/>
      <c r="J34" s="16" t="n">
        <v>260</v>
      </c>
      <c r="K34" s="16" t="n">
        <v>260</v>
      </c>
      <c r="L34" s="51" t="n"/>
    </row>
    <row r="35" ht="20" customHeight="1">
      <c r="A35" s="45" t="n"/>
      <c r="B35" s="21">
        <f>IF(A35="","",TEXT(A35,"AAA"))</f>
        <v/>
      </c>
      <c r="C35" s="24" t="n"/>
      <c r="D35" s="46">
        <f>IF(C35="","",IF(ISERROR(FIND(",",C35)),1,LEN(C35)-LEN(SUBSTITUTE(C35,",",""))+1))</f>
        <v/>
      </c>
      <c r="E35" s="47" t="n"/>
      <c r="F35" s="48">
        <f>IF(E35="","",IF(E35&lt;=0,0,IF(E35&lt;=3000,E35*0.02,IF(E35&lt;=6000,E35*0.025,IF(E35&lt;=10000,E35*0.03,E35*0.04)))))</f>
        <v/>
      </c>
      <c r="G35" s="49">
        <f>IF(OR(E35="",D35=""),"",IFERROR(F35/D35,F35))</f>
        <v/>
      </c>
      <c r="H35" s="50" t="n"/>
      <c r="I35" s="50" t="n"/>
      <c r="J35" s="16" t="n">
        <v>260</v>
      </c>
      <c r="K35" s="16" t="n">
        <v>260</v>
      </c>
      <c r="L35" s="52" t="n"/>
    </row>
    <row r="36" ht="20" customHeight="1">
      <c r="A36" s="45" t="n"/>
      <c r="B36" s="21">
        <f>IF(A36="","",TEXT(A36,"AAA"))</f>
        <v/>
      </c>
      <c r="C36" s="24" t="n"/>
      <c r="D36" s="46">
        <f>IF(C36="","",IF(ISERROR(FIND(",",C36)),1,LEN(C36)-LEN(SUBSTITUTE(C36,",",""))+1))</f>
        <v/>
      </c>
      <c r="E36" s="47" t="n"/>
      <c r="F36" s="48">
        <f>IF(E36="","",IF(E36&lt;=0,0,IF(E36&lt;=3000,E36*0.02,IF(E36&lt;=6000,E36*0.025,IF(E36&lt;=10000,E36*0.03,E36*0.04)))))</f>
        <v/>
      </c>
      <c r="G36" s="49">
        <f>IF(OR(E36="",D36=""),"",IFERROR(F36/D36,F36))</f>
        <v/>
      </c>
      <c r="H36" s="50" t="n"/>
      <c r="I36" s="50" t="n"/>
      <c r="J36" s="16" t="n">
        <v>260</v>
      </c>
      <c r="K36" s="16" t="n">
        <v>260</v>
      </c>
      <c r="L36" s="51" t="n"/>
    </row>
    <row r="37" ht="20" customHeight="1">
      <c r="A37" s="45" t="n"/>
      <c r="B37" s="21">
        <f>IF(A37="","",TEXT(A37,"AAA"))</f>
        <v/>
      </c>
      <c r="C37" s="24" t="n"/>
      <c r="D37" s="46">
        <f>IF(C37="","",IF(ISERROR(FIND(",",C37)),1,LEN(C37)-LEN(SUBSTITUTE(C37,",",""))+1))</f>
        <v/>
      </c>
      <c r="E37" s="47" t="n"/>
      <c r="F37" s="48">
        <f>IF(E37="","",IF(E37&lt;=0,0,IF(E37&lt;=3000,E37*0.02,IF(E37&lt;=6000,E37*0.025,IF(E37&lt;=10000,E37*0.03,E37*0.04)))))</f>
        <v/>
      </c>
      <c r="G37" s="49">
        <f>IF(OR(E37="",D37=""),"",IFERROR(F37/D37,F37))</f>
        <v/>
      </c>
      <c r="H37" s="50" t="n"/>
      <c r="I37" s="50" t="n"/>
      <c r="J37" s="16" t="n">
        <v>260</v>
      </c>
      <c r="K37" s="16" t="n">
        <v>260</v>
      </c>
      <c r="L37" s="52" t="n"/>
    </row>
    <row r="38" ht="20" customHeight="1">
      <c r="A38" s="45" t="n"/>
      <c r="B38" s="21">
        <f>IF(A38="","",TEXT(A38,"AAA"))</f>
        <v/>
      </c>
      <c r="C38" s="24" t="n"/>
      <c r="D38" s="46">
        <f>IF(C38="","",IF(ISERROR(FIND(",",C38)),1,LEN(C38)-LEN(SUBSTITUTE(C38,",",""))+1))</f>
        <v/>
      </c>
      <c r="E38" s="47" t="n"/>
      <c r="F38" s="48">
        <f>IF(E38="","",IF(E38&lt;=0,0,IF(E38&lt;=3000,E38*0.02,IF(E38&lt;=6000,E38*0.025,IF(E38&lt;=10000,E38*0.03,E38*0.04)))))</f>
        <v/>
      </c>
      <c r="G38" s="49">
        <f>IF(OR(E38="",D38=""),"",IFERROR(F38/D38,F38))</f>
        <v/>
      </c>
      <c r="H38" s="50" t="n"/>
      <c r="I38" s="50" t="n"/>
      <c r="J38" s="16" t="n">
        <v>260</v>
      </c>
      <c r="K38" s="16" t="n">
        <v>260</v>
      </c>
      <c r="L38" s="51" t="n"/>
    </row>
    <row r="39" ht="20" customHeight="1">
      <c r="A39" s="45" t="n"/>
      <c r="B39" s="21">
        <f>IF(A39="","",TEXT(A39,"AAA"))</f>
        <v/>
      </c>
      <c r="C39" s="24" t="n"/>
      <c r="D39" s="46">
        <f>IF(C39="","",IF(ISERROR(FIND(",",C39)),1,LEN(C39)-LEN(SUBSTITUTE(C39,",",""))+1))</f>
        <v/>
      </c>
      <c r="E39" s="47" t="n"/>
      <c r="F39" s="48">
        <f>IF(E39="","",IF(E39&lt;=0,0,IF(E39&lt;=3000,E39*0.02,IF(E39&lt;=6000,E39*0.025,IF(E39&lt;=10000,E39*0.03,E39*0.04)))))</f>
        <v/>
      </c>
      <c r="G39" s="49">
        <f>IF(OR(E39="",D39=""),"",IFERROR(F39/D39,F39))</f>
        <v/>
      </c>
      <c r="H39" s="50" t="n"/>
      <c r="I39" s="50" t="n"/>
      <c r="J39" s="16" t="n">
        <v>260</v>
      </c>
      <c r="K39" s="16" t="n">
        <v>260</v>
      </c>
      <c r="L39" s="52" t="n"/>
    </row>
    <row r="40" ht="20" customHeight="1">
      <c r="A40" s="45" t="n"/>
      <c r="B40" s="21">
        <f>IF(A40="","",TEXT(A40,"AAA"))</f>
        <v/>
      </c>
      <c r="C40" s="24" t="n"/>
      <c r="D40" s="46">
        <f>IF(C40="","",IF(ISERROR(FIND(",",C40)),1,LEN(C40)-LEN(SUBSTITUTE(C40,",",""))+1))</f>
        <v/>
      </c>
      <c r="E40" s="47" t="n"/>
      <c r="F40" s="48">
        <f>IF(E40="","",IF(E40&lt;=0,0,IF(E40&lt;=3000,E40*0.02,IF(E40&lt;=6000,E40*0.025,IF(E40&lt;=10000,E40*0.03,E40*0.04)))))</f>
        <v/>
      </c>
      <c r="G40" s="49">
        <f>IF(OR(E40="",D40=""),"",IFERROR(F40/D40,F40))</f>
        <v/>
      </c>
      <c r="H40" s="50" t="n"/>
      <c r="I40" s="50" t="n"/>
      <c r="J40" s="16" t="n">
        <v>260</v>
      </c>
      <c r="K40" s="16" t="n">
        <v>260</v>
      </c>
      <c r="L40" s="51" t="n"/>
    </row>
    <row r="41" ht="20" customHeight="1">
      <c r="A41" s="45" t="n"/>
      <c r="B41" s="21">
        <f>IF(A41="","",TEXT(A41,"AAA"))</f>
        <v/>
      </c>
      <c r="C41" s="24" t="n"/>
      <c r="D41" s="46">
        <f>IF(C41="","",IF(ISERROR(FIND(",",C41)),1,LEN(C41)-LEN(SUBSTITUTE(C41,",",""))+1))</f>
        <v/>
      </c>
      <c r="E41" s="47" t="n"/>
      <c r="F41" s="48">
        <f>IF(E41="","",IF(E41&lt;=0,0,IF(E41&lt;=3000,E41*0.02,IF(E41&lt;=6000,E41*0.025,IF(E41&lt;=10000,E41*0.03,E41*0.04)))))</f>
        <v/>
      </c>
      <c r="G41" s="49">
        <f>IF(OR(E41="",D41=""),"",IFERROR(F41/D41,F41))</f>
        <v/>
      </c>
      <c r="H41" s="50" t="n"/>
      <c r="I41" s="50" t="n"/>
      <c r="J41" s="16" t="n">
        <v>260</v>
      </c>
      <c r="K41" s="16" t="n">
        <v>260</v>
      </c>
      <c r="L41" s="52" t="n"/>
    </row>
    <row r="42" ht="20" customHeight="1">
      <c r="A42" s="45" t="n"/>
      <c r="B42" s="21">
        <f>IF(A42="","",TEXT(A42,"AAA"))</f>
        <v/>
      </c>
      <c r="C42" s="24" t="n"/>
      <c r="D42" s="46">
        <f>IF(C42="","",IF(ISERROR(FIND(",",C42)),1,LEN(C42)-LEN(SUBSTITUTE(C42,",",""))+1))</f>
        <v/>
      </c>
      <c r="E42" s="47" t="n"/>
      <c r="F42" s="48">
        <f>IF(E42="","",IF(E42&lt;=0,0,IF(E42&lt;=3000,E42*0.02,IF(E42&lt;=6000,E42*0.025,IF(E42&lt;=10000,E42*0.03,E42*0.04)))))</f>
        <v/>
      </c>
      <c r="G42" s="49">
        <f>IF(OR(E42="",D42=""),"",IFERROR(F42/D42,F42))</f>
        <v/>
      </c>
      <c r="H42" s="50" t="n"/>
      <c r="I42" s="50" t="n"/>
      <c r="J42" s="16" t="n">
        <v>260</v>
      </c>
      <c r="K42" s="16" t="n">
        <v>260</v>
      </c>
      <c r="L42" s="51" t="n"/>
    </row>
    <row r="43" ht="20" customHeight="1">
      <c r="A43" s="45" t="n"/>
      <c r="B43" s="21">
        <f>IF(A43="","",TEXT(A43,"AAA"))</f>
        <v/>
      </c>
      <c r="C43" s="24" t="n"/>
      <c r="D43" s="46">
        <f>IF(C43="","",IF(ISERROR(FIND(",",C43)),1,LEN(C43)-LEN(SUBSTITUTE(C43,",",""))+1))</f>
        <v/>
      </c>
      <c r="E43" s="47" t="n"/>
      <c r="F43" s="48">
        <f>IF(E43="","",IF(E43&lt;=0,0,IF(E43&lt;=3000,E43*0.02,IF(E43&lt;=6000,E43*0.025,IF(E43&lt;=10000,E43*0.03,E43*0.04)))))</f>
        <v/>
      </c>
      <c r="G43" s="49">
        <f>IF(OR(E43="",D43=""),"",IFERROR(F43/D43,F43))</f>
        <v/>
      </c>
      <c r="H43" s="50" t="n"/>
      <c r="I43" s="50" t="n"/>
      <c r="J43" s="16" t="n">
        <v>260</v>
      </c>
      <c r="K43" s="16" t="n">
        <v>260</v>
      </c>
      <c r="L43" s="52" t="n"/>
    </row>
    <row r="44" ht="20" customHeight="1">
      <c r="A44" s="45" t="n"/>
      <c r="B44" s="21">
        <f>IF(A44="","",TEXT(A44,"AAA"))</f>
        <v/>
      </c>
      <c r="C44" s="24" t="n"/>
      <c r="D44" s="46">
        <f>IF(C44="","",IF(ISERROR(FIND(",",C44)),1,LEN(C44)-LEN(SUBSTITUTE(C44,",",""))+1))</f>
        <v/>
      </c>
      <c r="E44" s="47" t="n"/>
      <c r="F44" s="48">
        <f>IF(E44="","",IF(E44&lt;=0,0,IF(E44&lt;=3000,E44*0.02,IF(E44&lt;=6000,E44*0.025,IF(E44&lt;=10000,E44*0.03,E44*0.04)))))</f>
        <v/>
      </c>
      <c r="G44" s="49">
        <f>IF(OR(E44="",D44=""),"",IFERROR(F44/D44,F44))</f>
        <v/>
      </c>
      <c r="H44" s="50" t="n"/>
      <c r="I44" s="50" t="n"/>
      <c r="J44" s="16" t="n">
        <v>260</v>
      </c>
      <c r="K44" s="16" t="n">
        <v>260</v>
      </c>
      <c r="L44" s="51" t="n"/>
    </row>
    <row r="45" ht="20" customHeight="1">
      <c r="A45" s="45" t="n"/>
      <c r="B45" s="21">
        <f>IF(A45="","",TEXT(A45,"AAA"))</f>
        <v/>
      </c>
      <c r="C45" s="24" t="n"/>
      <c r="D45" s="46">
        <f>IF(C45="","",IF(ISERROR(FIND(",",C45)),1,LEN(C45)-LEN(SUBSTITUTE(C45,",",""))+1))</f>
        <v/>
      </c>
      <c r="E45" s="47" t="n"/>
      <c r="F45" s="48">
        <f>IF(E45="","",IF(E45&lt;=0,0,IF(E45&lt;=3000,E45*0.02,IF(E45&lt;=6000,E45*0.025,IF(E45&lt;=10000,E45*0.03,E45*0.04)))))</f>
        <v/>
      </c>
      <c r="G45" s="49">
        <f>IF(OR(E45="",D45=""),"",IFERROR(F45/D45,F45))</f>
        <v/>
      </c>
      <c r="H45" s="50" t="n"/>
      <c r="I45" s="50" t="n"/>
      <c r="J45" s="16" t="n">
        <v>260</v>
      </c>
      <c r="K45" s="16" t="n">
        <v>260</v>
      </c>
      <c r="L45" s="52" t="n"/>
    </row>
    <row r="46" ht="20" customHeight="1">
      <c r="A46" s="45" t="n"/>
      <c r="B46" s="21">
        <f>IF(A46="","",TEXT(A46,"AAA"))</f>
        <v/>
      </c>
      <c r="C46" s="24" t="n"/>
      <c r="D46" s="46">
        <f>IF(C46="","",IF(ISERROR(FIND(",",C46)),1,LEN(C46)-LEN(SUBSTITUTE(C46,",",""))+1))</f>
        <v/>
      </c>
      <c r="E46" s="47" t="n"/>
      <c r="F46" s="48">
        <f>IF(E46="","",IF(E46&lt;=0,0,IF(E46&lt;=3000,E46*0.02,IF(E46&lt;=6000,E46*0.025,IF(E46&lt;=10000,E46*0.03,E46*0.04)))))</f>
        <v/>
      </c>
      <c r="G46" s="49">
        <f>IF(OR(E46="",D46=""),"",IFERROR(F46/D46,F46))</f>
        <v/>
      </c>
      <c r="H46" s="50" t="n"/>
      <c r="I46" s="50" t="n"/>
      <c r="J46" s="16" t="n">
        <v>260</v>
      </c>
      <c r="K46" s="16" t="n">
        <v>260</v>
      </c>
      <c r="L46" s="51" t="n"/>
    </row>
    <row r="47" ht="22" customHeight="1">
      <c r="A47" s="53" t="inlineStr">
        <is>
          <t>── 月末汇总 ──</t>
        </is>
      </c>
    </row>
    <row r="48" ht="24" customHeight="1">
      <c r="A48" s="34" t="inlineStr">
        <is>
          <t>月总销售额</t>
        </is>
      </c>
      <c r="B48" s="54">
        <f>SUM(E16:E46)</f>
        <v/>
      </c>
      <c r="C48" s="34" t="inlineStr">
        <is>
          <t>月提成池</t>
        </is>
      </c>
      <c r="D48" s="48">
        <f>SUM(F16:F46)</f>
        <v/>
      </c>
    </row>
    <row r="49" ht="44" customHeight="1">
      <c r="A49" s="34" t="inlineStr">
        <is>
          <t>店员A当月应发</t>
        </is>
      </c>
      <c r="B49" s="55">
        <f>SUM(J16:J46)+SUM(G16:G46)+SUM(H16:H46)</f>
        <v/>
      </c>
      <c r="C49" s="56" t="inlineStr">
        <is>
          <t>⚠️ 说明：当月应发 = Σ日薪 + Σ人均提成（仅当班日计入）+ 大单奖励
人均提成列(G列)已按当班人数平分。两人同班时两人各拿一份，单人班全拿。
大单奖励按成交人归属（H列=店员A，I列=店员B），不参与平分。</t>
        </is>
      </c>
    </row>
    <row r="50" ht="28" customHeight="1">
      <c r="A50" s="34" t="inlineStr">
        <is>
          <t>店员B当月应发</t>
        </is>
      </c>
      <c r="B50" s="55">
        <f>SUM(K16:K46)+SUM(G16:G46)+SUM(I16:I46)</f>
        <v/>
      </c>
    </row>
  </sheetData>
  <mergeCells count="9">
    <mergeCell ref="A2:L2"/>
    <mergeCell ref="C49:L50"/>
    <mergeCell ref="A47:L47"/>
    <mergeCell ref="A1:L1"/>
    <mergeCell ref="C4:F12"/>
    <mergeCell ref="G3:L3"/>
    <mergeCell ref="A14:L14"/>
    <mergeCell ref="G9:L12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18" customWidth="1" min="4" max="4"/>
    <col width="7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6" customWidth="1" min="12" max="12"/>
  </cols>
  <sheetData>
    <row r="1" ht="28" customHeight="1">
      <c r="A1" s="1" t="inlineStr">
        <is>
          <t>📊 库存管理  |  月度盘点</t>
        </is>
      </c>
    </row>
    <row r="2" ht="18" customHeight="1">
      <c r="A2" s="2" t="inlineStr">
        <is>
          <t>💡 期末 = 期初 + 入库 - 销售 | 库存≤2件标黄预警，0件标红</t>
        </is>
      </c>
    </row>
    <row r="3" ht="22" customHeight="1">
      <c r="A3" s="57" t="inlineStr">
        <is>
          <t>统计月份：</t>
        </is>
      </c>
      <c r="B3" s="15" t="inlineStr">
        <is>
          <t>2026-04</t>
        </is>
      </c>
    </row>
    <row r="4" ht="30" customHeight="1">
      <c r="A4" s="3" t="inlineStr">
        <is>
          <t>序号</t>
        </is>
      </c>
      <c r="B4" s="3" t="inlineStr">
        <is>
          <t>货号(SKU)</t>
        </is>
      </c>
      <c r="C4" s="3" t="inlineStr">
        <is>
          <t>商品名称</t>
        </is>
      </c>
      <c r="D4" s="3" t="inlineStr">
        <is>
          <t>颜色</t>
        </is>
      </c>
      <c r="E4" s="3" t="inlineStr">
        <is>
          <t>尺码</t>
        </is>
      </c>
      <c r="F4" s="3" t="inlineStr">
        <is>
          <t>售价(¥)</t>
        </is>
      </c>
      <c r="G4" s="3" t="inlineStr">
        <is>
          <t>期初库存</t>
        </is>
      </c>
      <c r="H4" s="3" t="inlineStr">
        <is>
          <t>本月入库</t>
        </is>
      </c>
      <c r="I4" s="3" t="inlineStr">
        <is>
          <t>本月销售</t>
        </is>
      </c>
      <c r="J4" s="3" t="inlineStr">
        <is>
          <t>期末库存</t>
        </is>
      </c>
      <c r="K4" s="3" t="inlineStr">
        <is>
          <t>库存状态</t>
        </is>
      </c>
      <c r="L4" s="3" t="inlineStr">
        <is>
          <t>备注</t>
        </is>
      </c>
    </row>
    <row r="5" ht="17" customHeight="1">
      <c r="A5" s="8" t="n">
        <v>1</v>
      </c>
      <c r="B5" s="8" t="inlineStr">
        <is>
          <t>NS2614-L</t>
        </is>
      </c>
      <c r="C5" s="9" t="inlineStr">
        <is>
          <t>扭捏niunie 复古格子全羊毛格子外套七分袖短裤宽松衬衫上衣女</t>
        </is>
      </c>
      <c r="D5" s="9" t="inlineStr">
        <is>
          <t>七分袖格子毛呢外套</t>
        </is>
      </c>
      <c r="E5" s="8" t="inlineStr">
        <is>
          <t>L</t>
        </is>
      </c>
      <c r="F5" s="10" t="n">
        <v>799</v>
      </c>
      <c r="G5" s="58" t="n">
        <v>6</v>
      </c>
      <c r="H5" s="58" t="n">
        <v>0</v>
      </c>
      <c r="I5" s="58" t="n">
        <v>0</v>
      </c>
      <c r="J5" s="46">
        <f>G5+H5-I5</f>
        <v/>
      </c>
      <c r="K5" s="21">
        <f>IF(J5=0,"🔴缺货",IF(J5&lt;=2,"🟡低库存","🟢正常"))</f>
        <v/>
      </c>
      <c r="L5" s="8" t="inlineStr"/>
    </row>
    <row r="6" ht="17" customHeight="1">
      <c r="A6" s="4" t="n">
        <v>2</v>
      </c>
      <c r="B6" s="4" t="inlineStr">
        <is>
          <t>NS2614-M</t>
        </is>
      </c>
      <c r="C6" s="5" t="inlineStr">
        <is>
          <t>扭捏niunie 复古格子全羊毛格子外套七分袖短裤宽松衬衫上衣女</t>
        </is>
      </c>
      <c r="D6" s="5" t="inlineStr">
        <is>
          <t>七分袖格子毛呢外套</t>
        </is>
      </c>
      <c r="E6" s="4" t="inlineStr">
        <is>
          <t>M</t>
        </is>
      </c>
      <c r="F6" s="6" t="n">
        <v>799</v>
      </c>
      <c r="G6" s="58" t="n">
        <v>1</v>
      </c>
      <c r="H6" s="58" t="n">
        <v>0</v>
      </c>
      <c r="I6" s="58" t="n">
        <v>0</v>
      </c>
      <c r="J6" s="46">
        <f>G6+H6-I6</f>
        <v/>
      </c>
      <c r="K6" s="21">
        <f>IF(J6=0,"🔴缺货",IF(J6&lt;=2,"🟡低库存","🟢正常"))</f>
        <v/>
      </c>
      <c r="L6" s="4" t="inlineStr"/>
    </row>
    <row r="7" ht="17" customHeight="1">
      <c r="A7" s="8" t="n">
        <v>3</v>
      </c>
      <c r="B7" s="8" t="inlineStr">
        <is>
          <t>NS2614-S</t>
        </is>
      </c>
      <c r="C7" s="9" t="inlineStr">
        <is>
          <t>扭捏niunie 复古格子全羊毛格子外套七分袖短裤宽松衬衫上衣女</t>
        </is>
      </c>
      <c r="D7" s="9" t="inlineStr">
        <is>
          <t>七分袖格子毛呢外套</t>
        </is>
      </c>
      <c r="E7" s="8" t="inlineStr">
        <is>
          <t>S</t>
        </is>
      </c>
      <c r="F7" s="10" t="n">
        <v>799</v>
      </c>
      <c r="G7" s="58" t="n">
        <v>0</v>
      </c>
      <c r="H7" s="58" t="n">
        <v>0</v>
      </c>
      <c r="I7" s="58" t="n">
        <v>0</v>
      </c>
      <c r="J7" s="46">
        <f>G7+H7-I7</f>
        <v/>
      </c>
      <c r="K7" s="21">
        <f>IF(J7=0,"🔴缺货",IF(J7&lt;=2,"🟡低库存","🟢正常"))</f>
        <v/>
      </c>
      <c r="L7" s="8" t="inlineStr"/>
    </row>
    <row r="8" ht="17" customHeight="1">
      <c r="A8" s="4" t="n">
        <v>4</v>
      </c>
      <c r="B8" s="4" t="inlineStr">
        <is>
          <t>NS2613-M</t>
        </is>
      </c>
      <c r="C8" s="5" t="inlineStr">
        <is>
          <t>扭捏niunie 黄色小碎花两面穿半身裙女打褶中长款甜美A字伞裙夏季</t>
        </is>
      </c>
      <c r="D8" s="5" t="inlineStr">
        <is>
          <t>黄色小碎花两面穿半身裙</t>
        </is>
      </c>
      <c r="E8" s="4" t="inlineStr">
        <is>
          <t>M</t>
        </is>
      </c>
      <c r="F8" s="6" t="n">
        <v>439</v>
      </c>
      <c r="G8" s="58" t="n">
        <v>4</v>
      </c>
      <c r="H8" s="58" t="n">
        <v>0</v>
      </c>
      <c r="I8" s="58" t="n">
        <v>0</v>
      </c>
      <c r="J8" s="46">
        <f>G8+H8-I8</f>
        <v/>
      </c>
      <c r="K8" s="21">
        <f>IF(J8=0,"🔴缺货",IF(J8&lt;=2,"🟡低库存","🟢正常"))</f>
        <v/>
      </c>
      <c r="L8" s="4" t="inlineStr"/>
    </row>
    <row r="9" ht="17" customHeight="1">
      <c r="A9" s="8" t="n">
        <v>5</v>
      </c>
      <c r="B9" s="8" t="inlineStr">
        <is>
          <t>NS2613-S</t>
        </is>
      </c>
      <c r="C9" s="9" t="inlineStr">
        <is>
          <t>扭捏niunie 黄色小碎花两面穿半身裙女打褶中长款甜美A字伞裙夏季</t>
        </is>
      </c>
      <c r="D9" s="9" t="inlineStr">
        <is>
          <t>黄色小碎花两面穿半身裙</t>
        </is>
      </c>
      <c r="E9" s="8" t="inlineStr">
        <is>
          <t>S</t>
        </is>
      </c>
      <c r="F9" s="10" t="n">
        <v>439</v>
      </c>
      <c r="G9" s="58" t="n">
        <v>2</v>
      </c>
      <c r="H9" s="58" t="n">
        <v>0</v>
      </c>
      <c r="I9" s="58" t="n">
        <v>0</v>
      </c>
      <c r="J9" s="46">
        <f>G9+H9-I9</f>
        <v/>
      </c>
      <c r="K9" s="21">
        <f>IF(J9=0,"🔴缺货",IF(J9&lt;=2,"🟡低库存","🟢正常"))</f>
        <v/>
      </c>
      <c r="L9" s="8" t="inlineStr"/>
    </row>
    <row r="10" ht="17" customHeight="1">
      <c r="A10" s="4" t="n">
        <v>6</v>
      </c>
      <c r="B10" s="4" t="inlineStr">
        <is>
          <t>NS2611-M</t>
        </is>
      </c>
      <c r="C10" s="5" t="inlineStr">
        <is>
          <t>扭捏niunie甜美清新花边口袋樱桃提花拼接圆领短袖衬衫花苞裤套装</t>
        </is>
      </c>
      <c r="D10" s="5" t="inlineStr">
        <is>
          <t>樱桃提花有口袋衬衫</t>
        </is>
      </c>
      <c r="E10" s="4" t="inlineStr">
        <is>
          <t>M</t>
        </is>
      </c>
      <c r="F10" s="6" t="n">
        <v>369</v>
      </c>
      <c r="G10" s="58" t="n">
        <v>23</v>
      </c>
      <c r="H10" s="58" t="n">
        <v>0</v>
      </c>
      <c r="I10" s="58" t="n">
        <v>0</v>
      </c>
      <c r="J10" s="46">
        <f>G10+H10-I10</f>
        <v/>
      </c>
      <c r="K10" s="21">
        <f>IF(J10=0,"🔴缺货",IF(J10&lt;=2,"🟡低库存","🟢正常"))</f>
        <v/>
      </c>
      <c r="L10" s="4" t="inlineStr"/>
    </row>
    <row r="11" ht="17" customHeight="1">
      <c r="A11" s="8" t="n">
        <v>7</v>
      </c>
      <c r="B11" s="8" t="inlineStr">
        <is>
          <t>NS2612-M</t>
        </is>
      </c>
      <c r="C11" s="9" t="inlineStr">
        <is>
          <t>扭捏niunie甜美清新花边口袋樱桃提花拼接圆领短袖衬衫花苞裤套装</t>
        </is>
      </c>
      <c r="D11" s="9" t="inlineStr">
        <is>
          <t>樱桃花苞裤</t>
        </is>
      </c>
      <c r="E11" s="8" t="inlineStr">
        <is>
          <t>M</t>
        </is>
      </c>
      <c r="F11" s="10" t="n">
        <v>329</v>
      </c>
      <c r="G11" s="58" t="n">
        <v>2</v>
      </c>
      <c r="H11" s="58" t="n">
        <v>0</v>
      </c>
      <c r="I11" s="58" t="n">
        <v>0</v>
      </c>
      <c r="J11" s="46">
        <f>G11+H11-I11</f>
        <v/>
      </c>
      <c r="K11" s="21">
        <f>IF(J11=0,"🔴缺货",IF(J11&lt;=2,"🟡低库存","🟢正常"))</f>
        <v/>
      </c>
      <c r="L11" s="8" t="inlineStr"/>
    </row>
    <row r="12" ht="17" customHeight="1">
      <c r="A12" s="4" t="n">
        <v>8</v>
      </c>
      <c r="B12" s="4" t="inlineStr">
        <is>
          <t>NS2611-S</t>
        </is>
      </c>
      <c r="C12" s="5" t="inlineStr">
        <is>
          <t>扭捏niunie甜美清新花边口袋樱桃提花拼接圆领短袖衬衫花苞裤套装</t>
        </is>
      </c>
      <c r="D12" s="5" t="inlineStr">
        <is>
          <t>樱桃提花有口袋衬衫</t>
        </is>
      </c>
      <c r="E12" s="4" t="inlineStr">
        <is>
          <t>S</t>
        </is>
      </c>
      <c r="F12" s="6" t="n">
        <v>369</v>
      </c>
      <c r="G12" s="58" t="n">
        <v>11</v>
      </c>
      <c r="H12" s="58" t="n">
        <v>0</v>
      </c>
      <c r="I12" s="58" t="n">
        <v>0</v>
      </c>
      <c r="J12" s="46">
        <f>G12+H12-I12</f>
        <v/>
      </c>
      <c r="K12" s="21">
        <f>IF(J12=0,"🔴缺货",IF(J12&lt;=2,"🟡低库存","🟢正常"))</f>
        <v/>
      </c>
      <c r="L12" s="4" t="inlineStr"/>
    </row>
    <row r="13" ht="17" customHeight="1">
      <c r="A13" s="8" t="n">
        <v>9</v>
      </c>
      <c r="B13" s="8" t="inlineStr">
        <is>
          <t>NS2612-S</t>
        </is>
      </c>
      <c r="C13" s="9" t="inlineStr">
        <is>
          <t>扭捏niunie甜美清新花边口袋樱桃提花拼接圆领短袖衬衫花苞裤套装</t>
        </is>
      </c>
      <c r="D13" s="9" t="inlineStr">
        <is>
          <t>樱桃花苞裤</t>
        </is>
      </c>
      <c r="E13" s="8" t="inlineStr">
        <is>
          <t>S</t>
        </is>
      </c>
      <c r="F13" s="10" t="n">
        <v>329</v>
      </c>
      <c r="G13" s="58" t="n">
        <v>0</v>
      </c>
      <c r="H13" s="58" t="n">
        <v>0</v>
      </c>
      <c r="I13" s="58" t="n">
        <v>0</v>
      </c>
      <c r="J13" s="46">
        <f>G13+H13-I13</f>
        <v/>
      </c>
      <c r="K13" s="21">
        <f>IF(J13=0,"🔴缺货",IF(J13&lt;=2,"🟡低库存","🟢正常"))</f>
        <v/>
      </c>
      <c r="L13" s="8" t="inlineStr"/>
    </row>
    <row r="14" ht="17" customHeight="1">
      <c r="A14" s="4" t="n">
        <v>10</v>
      </c>
      <c r="B14" s="4" t="inlineStr">
        <is>
          <t>NS2610-M</t>
        </is>
      </c>
      <c r="C14" s="5" t="inlineStr">
        <is>
          <t>扭捏niunie  亚麻复古彩色格子荷叶边短裙抽褶拼接修身半身裙女</t>
        </is>
      </c>
      <c r="D14" s="5" t="inlineStr">
        <is>
          <t>彩色亚麻格子短裙</t>
        </is>
      </c>
      <c r="E14" s="4" t="inlineStr">
        <is>
          <t>M</t>
        </is>
      </c>
      <c r="F14" s="6" t="n">
        <v>529</v>
      </c>
      <c r="G14" s="58" t="n">
        <v>10</v>
      </c>
      <c r="H14" s="58" t="n">
        <v>0</v>
      </c>
      <c r="I14" s="58" t="n">
        <v>0</v>
      </c>
      <c r="J14" s="46">
        <f>G14+H14-I14</f>
        <v/>
      </c>
      <c r="K14" s="21">
        <f>IF(J14=0,"🔴缺货",IF(J14&lt;=2,"🟡低库存","🟢正常"))</f>
        <v/>
      </c>
      <c r="L14" s="4" t="inlineStr"/>
    </row>
    <row r="15" ht="17" customHeight="1">
      <c r="A15" s="8" t="n">
        <v>11</v>
      </c>
      <c r="B15" s="8" t="inlineStr">
        <is>
          <t>NS2610-S</t>
        </is>
      </c>
      <c r="C15" s="9" t="inlineStr">
        <is>
          <t>扭捏niunie  亚麻复古彩色格子荷叶边短裙抽褶拼接修身半身裙女</t>
        </is>
      </c>
      <c r="D15" s="9" t="inlineStr">
        <is>
          <t>彩色亚麻格子短裙</t>
        </is>
      </c>
      <c r="E15" s="8" t="inlineStr">
        <is>
          <t>S</t>
        </is>
      </c>
      <c r="F15" s="10" t="n">
        <v>529</v>
      </c>
      <c r="G15" s="58" t="n">
        <v>10</v>
      </c>
      <c r="H15" s="58" t="n">
        <v>0</v>
      </c>
      <c r="I15" s="58" t="n">
        <v>0</v>
      </c>
      <c r="J15" s="46">
        <f>G15+H15-I15</f>
        <v/>
      </c>
      <c r="K15" s="21">
        <f>IF(J15=0,"🔴缺货",IF(J15&lt;=2,"🟡低库存","🟢正常"))</f>
        <v/>
      </c>
      <c r="L15" s="8" t="inlineStr"/>
    </row>
    <row r="16" ht="17" customHeight="1">
      <c r="A16" s="4" t="n">
        <v>12</v>
      </c>
      <c r="B16" s="4" t="inlineStr">
        <is>
          <t>NS2609-M</t>
        </is>
      </c>
      <c r="C16" s="5" t="inlineStr">
        <is>
          <t>扭捏niunie 青苹果天使十字绣针织衫长袖圆领T恤甜美宽松上衣女</t>
        </is>
      </c>
      <c r="D16" s="5" t="inlineStr">
        <is>
          <t>青苹果天使针织长袖t</t>
        </is>
      </c>
      <c r="E16" s="4" t="inlineStr">
        <is>
          <t>M</t>
        </is>
      </c>
      <c r="F16" s="6" t="n">
        <v>199</v>
      </c>
      <c r="G16" s="58" t="n">
        <v>22</v>
      </c>
      <c r="H16" s="58" t="n">
        <v>0</v>
      </c>
      <c r="I16" s="58" t="n">
        <v>0</v>
      </c>
      <c r="J16" s="46">
        <f>G16+H16-I16</f>
        <v/>
      </c>
      <c r="K16" s="21">
        <f>IF(J16=0,"🔴缺货",IF(J16&lt;=2,"🟡低库存","🟢正常"))</f>
        <v/>
      </c>
      <c r="L16" s="4" t="inlineStr"/>
    </row>
    <row r="17" ht="17" customHeight="1">
      <c r="A17" s="8" t="n">
        <v>13</v>
      </c>
      <c r="B17" s="8" t="inlineStr">
        <is>
          <t>NS2609-S</t>
        </is>
      </c>
      <c r="C17" s="9" t="inlineStr">
        <is>
          <t>扭捏niunie 青苹果天使十字绣针织衫长袖圆领T恤甜美宽松上衣女</t>
        </is>
      </c>
      <c r="D17" s="9" t="inlineStr">
        <is>
          <t>青苹果天使针织长袖t</t>
        </is>
      </c>
      <c r="E17" s="8" t="inlineStr">
        <is>
          <t>S</t>
        </is>
      </c>
      <c r="F17" s="10" t="n">
        <v>199</v>
      </c>
      <c r="G17" s="58" t="n">
        <v>28</v>
      </c>
      <c r="H17" s="58" t="n">
        <v>0</v>
      </c>
      <c r="I17" s="58" t="n">
        <v>0</v>
      </c>
      <c r="J17" s="46">
        <f>G17+H17-I17</f>
        <v/>
      </c>
      <c r="K17" s="21">
        <f>IF(J17=0,"🔴缺货",IF(J17&lt;=2,"🟡低库存","🟢正常"))</f>
        <v/>
      </c>
      <c r="L17" s="8" t="inlineStr"/>
    </row>
    <row r="18" ht="17" customHeight="1">
      <c r="A18" s="4" t="n">
        <v>14</v>
      </c>
      <c r="B18" s="4" t="inlineStr">
        <is>
          <t>NS2607-M</t>
        </is>
      </c>
      <c r="C18" s="5" t="inlineStr">
        <is>
          <t>扭捏niunie 婴儿棉A类棉氨纶 娃娃领针织T恤短袖可爱俏皮减龄上衣</t>
        </is>
      </c>
      <c r="D18" s="5" t="inlineStr">
        <is>
          <t>小提花针织灰色开衫</t>
        </is>
      </c>
      <c r="E18" s="4" t="inlineStr">
        <is>
          <t>M</t>
        </is>
      </c>
      <c r="F18" s="6" t="n">
        <v>329</v>
      </c>
      <c r="G18" s="58" t="n">
        <v>17</v>
      </c>
      <c r="H18" s="58" t="n">
        <v>0</v>
      </c>
      <c r="I18" s="58" t="n">
        <v>0</v>
      </c>
      <c r="J18" s="46">
        <f>G18+H18-I18</f>
        <v/>
      </c>
      <c r="K18" s="21">
        <f>IF(J18=0,"🔴缺货",IF(J18&lt;=2,"🟡低库存","🟢正常"))</f>
        <v/>
      </c>
      <c r="L18" s="4" t="inlineStr"/>
    </row>
    <row r="19" ht="17" customHeight="1">
      <c r="A19" s="8" t="n">
        <v>15</v>
      </c>
      <c r="B19" s="8" t="inlineStr">
        <is>
          <t>NS2607-S</t>
        </is>
      </c>
      <c r="C19" s="9" t="inlineStr">
        <is>
          <t>扭捏niunie 婴儿棉A类棉氨纶 娃娃领针织T恤短袖可爱俏皮减龄上衣</t>
        </is>
      </c>
      <c r="D19" s="9" t="inlineStr">
        <is>
          <t>小提花针织灰色开衫</t>
        </is>
      </c>
      <c r="E19" s="8" t="inlineStr">
        <is>
          <t>S</t>
        </is>
      </c>
      <c r="F19" s="10" t="n">
        <v>329</v>
      </c>
      <c r="G19" s="58" t="n">
        <v>13</v>
      </c>
      <c r="H19" s="58" t="n">
        <v>0</v>
      </c>
      <c r="I19" s="58" t="n">
        <v>0</v>
      </c>
      <c r="J19" s="46">
        <f>G19+H19-I19</f>
        <v/>
      </c>
      <c r="K19" s="21">
        <f>IF(J19=0,"🔴缺货",IF(J19&lt;=2,"🟡低库存","🟢正常"))</f>
        <v/>
      </c>
      <c r="L19" s="8" t="inlineStr"/>
    </row>
    <row r="20" ht="17" customHeight="1">
      <c r="A20" s="4" t="n">
        <v>16</v>
      </c>
      <c r="B20" s="4" t="inlineStr">
        <is>
          <t>NS2607-魔法蓝-M</t>
        </is>
      </c>
      <c r="C20" s="5" t="inlineStr">
        <is>
          <t>扭捏niunie 蓝色树莓色格子气质显瘦包臀裙复古直筒中裙女春夏</t>
        </is>
      </c>
      <c r="D20" s="5" t="inlineStr">
        <is>
          <t>魔法蓝格子包臀裙</t>
        </is>
      </c>
      <c r="E20" s="4" t="inlineStr">
        <is>
          <t>M</t>
        </is>
      </c>
      <c r="F20" s="6" t="n">
        <v>419</v>
      </c>
      <c r="G20" s="58" t="n">
        <v>13</v>
      </c>
      <c r="H20" s="58" t="n">
        <v>0</v>
      </c>
      <c r="I20" s="58" t="n">
        <v>0</v>
      </c>
      <c r="J20" s="46">
        <f>G20+H20-I20</f>
        <v/>
      </c>
      <c r="K20" s="21">
        <f>IF(J20=0,"🔴缺货",IF(J20&lt;=2,"🟡低库存","🟢正常"))</f>
        <v/>
      </c>
      <c r="L20" s="4" t="inlineStr"/>
    </row>
    <row r="21" ht="17" customHeight="1">
      <c r="A21" s="8" t="n">
        <v>17</v>
      </c>
      <c r="B21" s="8" t="inlineStr">
        <is>
          <t>NS2607-树莓-M</t>
        </is>
      </c>
      <c r="C21" s="9" t="inlineStr">
        <is>
          <t>扭捏niunie 蓝色树莓色格子气质显瘦包臀裙复古直筒中裙女春夏</t>
        </is>
      </c>
      <c r="D21" s="9" t="inlineStr">
        <is>
          <t>树莓格子包臀裙</t>
        </is>
      </c>
      <c r="E21" s="8" t="inlineStr">
        <is>
          <t>M</t>
        </is>
      </c>
      <c r="F21" s="10" t="n">
        <v>419</v>
      </c>
      <c r="G21" s="58" t="n">
        <v>3</v>
      </c>
      <c r="H21" s="58" t="n">
        <v>0</v>
      </c>
      <c r="I21" s="58" t="n">
        <v>0</v>
      </c>
      <c r="J21" s="46">
        <f>G21+H21-I21</f>
        <v/>
      </c>
      <c r="K21" s="21">
        <f>IF(J21=0,"🔴缺货",IF(J21&lt;=2,"🟡低库存","🟢正常"))</f>
        <v/>
      </c>
      <c r="L21" s="8" t="inlineStr"/>
    </row>
    <row r="22" ht="17" customHeight="1">
      <c r="A22" s="4" t="n">
        <v>18</v>
      </c>
      <c r="B22" s="4" t="inlineStr">
        <is>
          <t>NS2607-魔法蓝-S</t>
        </is>
      </c>
      <c r="C22" s="5" t="inlineStr">
        <is>
          <t>扭捏niunie 蓝色树莓色格子气质显瘦包臀裙复古直筒中裙女春夏</t>
        </is>
      </c>
      <c r="D22" s="5" t="inlineStr">
        <is>
          <t>魔法蓝格子包臀裙</t>
        </is>
      </c>
      <c r="E22" s="4" t="inlineStr">
        <is>
          <t>S</t>
        </is>
      </c>
      <c r="F22" s="6" t="n">
        <v>419</v>
      </c>
      <c r="G22" s="58" t="n">
        <v>12</v>
      </c>
      <c r="H22" s="58" t="n">
        <v>0</v>
      </c>
      <c r="I22" s="58" t="n">
        <v>0</v>
      </c>
      <c r="J22" s="46">
        <f>G22+H22-I22</f>
        <v/>
      </c>
      <c r="K22" s="21">
        <f>IF(J22=0,"🔴缺货",IF(J22&lt;=2,"🟡低库存","🟢正常"))</f>
        <v/>
      </c>
      <c r="L22" s="4" t="inlineStr"/>
    </row>
    <row r="23" ht="17" customHeight="1">
      <c r="A23" s="8" t="n">
        <v>19</v>
      </c>
      <c r="B23" s="8" t="inlineStr">
        <is>
          <t>NS2607-树莓-S</t>
        </is>
      </c>
      <c r="C23" s="9" t="inlineStr">
        <is>
          <t>扭捏niunie 蓝色树莓色格子气质显瘦包臀裙复古直筒中裙女春夏</t>
        </is>
      </c>
      <c r="D23" s="9" t="inlineStr">
        <is>
          <t>树莓格子包臀裙</t>
        </is>
      </c>
      <c r="E23" s="8" t="inlineStr">
        <is>
          <t>S</t>
        </is>
      </c>
      <c r="F23" s="10" t="n">
        <v>419</v>
      </c>
      <c r="G23" s="58" t="n">
        <v>8</v>
      </c>
      <c r="H23" s="58" t="n">
        <v>0</v>
      </c>
      <c r="I23" s="58" t="n">
        <v>0</v>
      </c>
      <c r="J23" s="46">
        <f>G23+H23-I23</f>
        <v/>
      </c>
      <c r="K23" s="21">
        <f>IF(J23=0,"🔴缺货",IF(J23&lt;=2,"🟡低库存","🟢正常"))</f>
        <v/>
      </c>
      <c r="L23" s="8" t="inlineStr"/>
    </row>
    <row r="24" ht="17" customHeight="1">
      <c r="A24" s="4" t="n">
        <v>20</v>
      </c>
      <c r="B24" s="4" t="inlineStr">
        <is>
          <t>NS2606-M</t>
        </is>
      </c>
      <c r="C24" s="5" t="inlineStr">
        <is>
          <t>扭捏niunie 甜美蓝紫格纹松紧腰A字半身裙显瘦宽松撞色中长裙春夏</t>
        </is>
      </c>
      <c r="D24" s="5" t="inlineStr">
        <is>
          <t>蓝紫格半身裙</t>
        </is>
      </c>
      <c r="E24" s="4" t="inlineStr">
        <is>
          <t>M</t>
        </is>
      </c>
      <c r="F24" s="6" t="n">
        <v>309</v>
      </c>
      <c r="G24" s="58" t="n">
        <v>19</v>
      </c>
      <c r="H24" s="58" t="n">
        <v>0</v>
      </c>
      <c r="I24" s="58" t="n">
        <v>0</v>
      </c>
      <c r="J24" s="46">
        <f>G24+H24-I24</f>
        <v/>
      </c>
      <c r="K24" s="21">
        <f>IF(J24=0,"🔴缺货",IF(J24&lt;=2,"🟡低库存","🟢正常"))</f>
        <v/>
      </c>
      <c r="L24" s="4" t="inlineStr"/>
    </row>
    <row r="25" ht="17" customHeight="1">
      <c r="A25" s="8" t="n">
        <v>21</v>
      </c>
      <c r="B25" s="8" t="inlineStr">
        <is>
          <t>NS2606-S</t>
        </is>
      </c>
      <c r="C25" s="9" t="inlineStr">
        <is>
          <t>扭捏niunie 甜美蓝紫格纹松紧腰A字半身裙显瘦宽松撞色中长裙春夏</t>
        </is>
      </c>
      <c r="D25" s="9" t="inlineStr">
        <is>
          <t>蓝紫格半身裙</t>
        </is>
      </c>
      <c r="E25" s="8" t="inlineStr">
        <is>
          <t>S</t>
        </is>
      </c>
      <c r="F25" s="10" t="n">
        <v>309</v>
      </c>
      <c r="G25" s="58" t="n">
        <v>17</v>
      </c>
      <c r="H25" s="58" t="n">
        <v>0</v>
      </c>
      <c r="I25" s="58" t="n">
        <v>0</v>
      </c>
      <c r="J25" s="46">
        <f>G25+H25-I25</f>
        <v/>
      </c>
      <c r="K25" s="21">
        <f>IF(J25=0,"🔴缺货",IF(J25&lt;=2,"🟡低库存","🟢正常"))</f>
        <v/>
      </c>
      <c r="L25" s="8" t="inlineStr"/>
    </row>
    <row r="26" ht="17" customHeight="1">
      <c r="A26" s="4" t="n">
        <v>22</v>
      </c>
      <c r="B26" s="4" t="inlineStr">
        <is>
          <t>NS2605-M</t>
        </is>
      </c>
      <c r="C26" s="5" t="inlineStr">
        <is>
          <t>扭捏niunie 复古蓝色条纹圆领五分袖短袖T恤修身显瘦中袖百搭上衣</t>
        </is>
      </c>
      <c r="D26" s="5" t="inlineStr">
        <is>
          <t>蓝色条纹中袖T恤</t>
        </is>
      </c>
      <c r="E26" s="4" t="inlineStr">
        <is>
          <t>M</t>
        </is>
      </c>
      <c r="F26" s="6" t="n">
        <v>219</v>
      </c>
      <c r="G26" s="58" t="n">
        <v>12</v>
      </c>
      <c r="H26" s="58" t="n">
        <v>0</v>
      </c>
      <c r="I26" s="58" t="n">
        <v>0</v>
      </c>
      <c r="J26" s="46">
        <f>G26+H26-I26</f>
        <v/>
      </c>
      <c r="K26" s="21">
        <f>IF(J26=0,"🔴缺货",IF(J26&lt;=2,"🟡低库存","🟢正常"))</f>
        <v/>
      </c>
      <c r="L26" s="4" t="inlineStr"/>
    </row>
    <row r="27" ht="17" customHeight="1">
      <c r="A27" s="8" t="n">
        <v>23</v>
      </c>
      <c r="B27" s="8" t="inlineStr">
        <is>
          <t>NS2605-S</t>
        </is>
      </c>
      <c r="C27" s="9" t="inlineStr">
        <is>
          <t>扭捏niunie 复古蓝色条纹圆领五分袖短袖T恤修身显瘦中袖百搭上衣</t>
        </is>
      </c>
      <c r="D27" s="9" t="inlineStr">
        <is>
          <t>蓝色条纹中袖T恤</t>
        </is>
      </c>
      <c r="E27" s="8" t="inlineStr">
        <is>
          <t>S</t>
        </is>
      </c>
      <c r="F27" s="10" t="n">
        <v>219</v>
      </c>
      <c r="G27" s="58" t="n">
        <v>20</v>
      </c>
      <c r="H27" s="58" t="n">
        <v>0</v>
      </c>
      <c r="I27" s="58" t="n">
        <v>0</v>
      </c>
      <c r="J27" s="46">
        <f>G27+H27-I27</f>
        <v/>
      </c>
      <c r="K27" s="21">
        <f>IF(J27=0,"🔴缺货",IF(J27&lt;=2,"🟡低库存","🟢正常"))</f>
        <v/>
      </c>
      <c r="L27" s="8" t="inlineStr"/>
    </row>
    <row r="28" ht="17" customHeight="1">
      <c r="A28" s="4" t="n">
        <v>24</v>
      </c>
      <c r="B28" s="4" t="inlineStr">
        <is>
          <t>NS2603-M</t>
        </is>
      </c>
      <c r="C28" s="5" t="inlineStr">
        <is>
          <t>扭捏niunie 复古重工提花拼接毛边蘑菇半身裙中长款宽松A字伞裙女</t>
        </is>
      </c>
      <c r="D28" s="5" t="inlineStr">
        <is>
          <t>黑白格蘑菇半身裙</t>
        </is>
      </c>
      <c r="E28" s="4" t="inlineStr">
        <is>
          <t>M</t>
        </is>
      </c>
      <c r="F28" s="6" t="n">
        <v>529</v>
      </c>
      <c r="G28" s="58" t="n">
        <v>23</v>
      </c>
      <c r="H28" s="58" t="n">
        <v>0</v>
      </c>
      <c r="I28" s="58" t="n">
        <v>0</v>
      </c>
      <c r="J28" s="46">
        <f>G28+H28-I28</f>
        <v/>
      </c>
      <c r="K28" s="21">
        <f>IF(J28=0,"🔴缺货",IF(J28&lt;=2,"🟡低库存","🟢正常"))</f>
        <v/>
      </c>
      <c r="L28" s="4" t="inlineStr"/>
    </row>
    <row r="29" ht="17" customHeight="1">
      <c r="A29" s="8" t="n">
        <v>25</v>
      </c>
      <c r="B29" s="8" t="inlineStr">
        <is>
          <t>NS2604-M</t>
        </is>
      </c>
      <c r="C29" s="9" t="inlineStr">
        <is>
          <t>扭捏niunie 复古重工提花拼接毛边蘑菇半身裙中长款宽松A字伞裙女</t>
        </is>
      </c>
      <c r="D29" s="9" t="inlineStr">
        <is>
          <t>粉色纯棉半身裙</t>
        </is>
      </c>
      <c r="E29" s="8" t="inlineStr">
        <is>
          <t>M</t>
        </is>
      </c>
      <c r="F29" s="10" t="n">
        <v>439</v>
      </c>
      <c r="G29" s="58" t="n">
        <v>0</v>
      </c>
      <c r="H29" s="58" t="n">
        <v>0</v>
      </c>
      <c r="I29" s="58" t="n">
        <v>0</v>
      </c>
      <c r="J29" s="46">
        <f>G29+H29-I29</f>
        <v/>
      </c>
      <c r="K29" s="21">
        <f>IF(J29=0,"🔴缺货",IF(J29&lt;=2,"🟡低库存","🟢正常"))</f>
        <v/>
      </c>
      <c r="L29" s="8" t="inlineStr"/>
    </row>
    <row r="30" ht="17" customHeight="1">
      <c r="A30" s="4" t="n">
        <v>26</v>
      </c>
      <c r="B30" s="4" t="inlineStr">
        <is>
          <t>NS2603-S</t>
        </is>
      </c>
      <c r="C30" s="5" t="inlineStr">
        <is>
          <t>扭捏niunie 复古重工提花拼接毛边蘑菇半身裙中长款宽松A字伞裙女</t>
        </is>
      </c>
      <c r="D30" s="5" t="inlineStr">
        <is>
          <t>黑白格蘑菇半身裙</t>
        </is>
      </c>
      <c r="E30" s="4" t="inlineStr">
        <is>
          <t>S</t>
        </is>
      </c>
      <c r="F30" s="6" t="n">
        <v>529</v>
      </c>
      <c r="G30" s="58" t="n">
        <v>23</v>
      </c>
      <c r="H30" s="58" t="n">
        <v>0</v>
      </c>
      <c r="I30" s="58" t="n">
        <v>0</v>
      </c>
      <c r="J30" s="46">
        <f>G30+H30-I30</f>
        <v/>
      </c>
      <c r="K30" s="21">
        <f>IF(J30=0,"🔴缺货",IF(J30&lt;=2,"🟡低库存","🟢正常"))</f>
        <v/>
      </c>
      <c r="L30" s="4" t="inlineStr"/>
    </row>
    <row r="31" ht="17" customHeight="1">
      <c r="A31" s="8" t="n">
        <v>27</v>
      </c>
      <c r="B31" s="8" t="inlineStr">
        <is>
          <t>NS2604-S</t>
        </is>
      </c>
      <c r="C31" s="9" t="inlineStr">
        <is>
          <t>扭捏niunie 复古重工提花拼接毛边蘑菇半身裙中长款宽松A字伞裙女</t>
        </is>
      </c>
      <c r="D31" s="9" t="inlineStr">
        <is>
          <t>粉色纯棉半身裙</t>
        </is>
      </c>
      <c r="E31" s="8" t="inlineStr">
        <is>
          <t>S</t>
        </is>
      </c>
      <c r="F31" s="10" t="n">
        <v>439</v>
      </c>
      <c r="G31" s="58" t="n">
        <v>0</v>
      </c>
      <c r="H31" s="58" t="n">
        <v>0</v>
      </c>
      <c r="I31" s="58" t="n">
        <v>0</v>
      </c>
      <c r="J31" s="46">
        <f>G31+H31-I31</f>
        <v/>
      </c>
      <c r="K31" s="21">
        <f>IF(J31=0,"🔴缺货",IF(J31&lt;=2,"🟡低库存","🟢正常"))</f>
        <v/>
      </c>
      <c r="L31" s="8" t="inlineStr"/>
    </row>
    <row r="32" ht="17" customHeight="1">
      <c r="A32" s="4" t="n">
        <v>28</v>
      </c>
      <c r="B32" s="4" t="inlineStr">
        <is>
          <t>NS2601-M</t>
        </is>
      </c>
      <c r="C32" s="5" t="inlineStr">
        <is>
          <t>扭捏niunie 原创复古手缝扣树莓色圆领短袖T恤条纹撞色打底上衣</t>
        </is>
      </c>
      <c r="D32" s="5" t="inlineStr">
        <is>
          <t>树莓色手缝扣T恤</t>
        </is>
      </c>
      <c r="E32" s="4" t="inlineStr">
        <is>
          <t>M</t>
        </is>
      </c>
      <c r="F32" s="6" t="n">
        <v>269</v>
      </c>
      <c r="G32" s="58" t="n">
        <v>14</v>
      </c>
      <c r="H32" s="58" t="n">
        <v>0</v>
      </c>
      <c r="I32" s="58" t="n">
        <v>0</v>
      </c>
      <c r="J32" s="46">
        <f>G32+H32-I32</f>
        <v/>
      </c>
      <c r="K32" s="21">
        <f>IF(J32=0,"🔴缺货",IF(J32&lt;=2,"🟡低库存","🟢正常"))</f>
        <v/>
      </c>
      <c r="L32" s="4" t="inlineStr"/>
    </row>
    <row r="33" ht="17" customHeight="1">
      <c r="A33" s="8" t="n">
        <v>29</v>
      </c>
      <c r="B33" s="8" t="inlineStr">
        <is>
          <t>NS2602-M</t>
        </is>
      </c>
      <c r="C33" s="9" t="inlineStr">
        <is>
          <t>扭捏niunie 原创复古手缝扣树莓色圆领短袖T恤条纹撞色打底上衣</t>
        </is>
      </c>
      <c r="D33" s="9" t="inlineStr">
        <is>
          <t>红蓝条纹长袖T恤</t>
        </is>
      </c>
      <c r="E33" s="8" t="inlineStr">
        <is>
          <t>M</t>
        </is>
      </c>
      <c r="F33" s="10" t="n">
        <v>219</v>
      </c>
      <c r="G33" s="58" t="n">
        <v>0</v>
      </c>
      <c r="H33" s="58" t="n">
        <v>0</v>
      </c>
      <c r="I33" s="58" t="n">
        <v>0</v>
      </c>
      <c r="J33" s="46">
        <f>G33+H33-I33</f>
        <v/>
      </c>
      <c r="K33" s="21">
        <f>IF(J33=0,"🔴缺货",IF(J33&lt;=2,"🟡低库存","🟢正常"))</f>
        <v/>
      </c>
      <c r="L33" s="8" t="inlineStr"/>
    </row>
    <row r="34" ht="17" customHeight="1">
      <c r="A34" s="4" t="n">
        <v>30</v>
      </c>
      <c r="B34" s="4" t="inlineStr">
        <is>
          <t>NS2601-S</t>
        </is>
      </c>
      <c r="C34" s="5" t="inlineStr">
        <is>
          <t>扭捏niunie 原创复古手缝扣树莓色圆领短袖T恤条纹撞色打底上衣</t>
        </is>
      </c>
      <c r="D34" s="5" t="inlineStr">
        <is>
          <t>树莓色手缝扣T恤</t>
        </is>
      </c>
      <c r="E34" s="4" t="inlineStr">
        <is>
          <t>S</t>
        </is>
      </c>
      <c r="F34" s="6" t="n">
        <v>269</v>
      </c>
      <c r="G34" s="58" t="n">
        <v>24</v>
      </c>
      <c r="H34" s="58" t="n">
        <v>0</v>
      </c>
      <c r="I34" s="58" t="n">
        <v>0</v>
      </c>
      <c r="J34" s="46">
        <f>G34+H34-I34</f>
        <v/>
      </c>
      <c r="K34" s="21">
        <f>IF(J34=0,"🔴缺货",IF(J34&lt;=2,"🟡低库存","🟢正常"))</f>
        <v/>
      </c>
      <c r="L34" s="4" t="inlineStr"/>
    </row>
    <row r="35" ht="17" customHeight="1">
      <c r="A35" s="8" t="n">
        <v>31</v>
      </c>
      <c r="B35" s="8" t="inlineStr">
        <is>
          <t>NS2602-S</t>
        </is>
      </c>
      <c r="C35" s="9" t="inlineStr">
        <is>
          <t>扭捏niunie 原创复古手缝扣树莓色圆领短袖T恤条纹撞色打底上衣</t>
        </is>
      </c>
      <c r="D35" s="9" t="inlineStr">
        <is>
          <t>红蓝条纹长袖T恤</t>
        </is>
      </c>
      <c r="E35" s="8" t="inlineStr">
        <is>
          <t>S</t>
        </is>
      </c>
      <c r="F35" s="10" t="n">
        <v>219</v>
      </c>
      <c r="G35" s="58" t="n">
        <v>0</v>
      </c>
      <c r="H35" s="58" t="n">
        <v>0</v>
      </c>
      <c r="I35" s="58" t="n">
        <v>0</v>
      </c>
      <c r="J35" s="46">
        <f>G35+H35-I35</f>
        <v/>
      </c>
      <c r="K35" s="21">
        <f>IF(J35=0,"🔴缺货",IF(J35&lt;=2,"🟡低库存","🟢正常"))</f>
        <v/>
      </c>
      <c r="L35" s="8" t="inlineStr"/>
    </row>
    <row r="36" ht="17" customHeight="1">
      <c r="A36" s="4" t="n">
        <v>32</v>
      </c>
      <c r="B36" s="4" t="inlineStr">
        <is>
          <t>TNW-1015-L</t>
        </is>
      </c>
      <c r="C36" s="5" t="inlineStr">
        <is>
          <t>扭捏niunie英国陶瓷扣碎花拼接设计100%羊毛呢外套半裙套装女秋冬</t>
        </is>
      </c>
      <c r="D36" s="5" t="inlineStr">
        <is>
          <t>灰彩色全羊毛半裙</t>
        </is>
      </c>
      <c r="E36" s="4" t="inlineStr">
        <is>
          <t>L</t>
        </is>
      </c>
      <c r="F36" s="6" t="n">
        <v>459</v>
      </c>
      <c r="G36" s="58" t="n">
        <v>2</v>
      </c>
      <c r="H36" s="58" t="n">
        <v>0</v>
      </c>
      <c r="I36" s="58" t="n">
        <v>0</v>
      </c>
      <c r="J36" s="46">
        <f>G36+H36-I36</f>
        <v/>
      </c>
      <c r="K36" s="21">
        <f>IF(J36=0,"🔴缺货",IF(J36&lt;=2,"🟡低库存","🟢正常"))</f>
        <v/>
      </c>
      <c r="L36" s="4" t="inlineStr"/>
    </row>
    <row r="37" ht="17" customHeight="1">
      <c r="A37" s="8" t="n">
        <v>33</v>
      </c>
      <c r="B37" s="8" t="inlineStr">
        <is>
          <t>TNW-1038-L</t>
        </is>
      </c>
      <c r="C37" s="9" t="inlineStr">
        <is>
          <t>扭捏niunie英国陶瓷扣碎花拼接设计100%羊毛呢外套半裙套装女秋冬</t>
        </is>
      </c>
      <c r="D37" s="9" t="inlineStr">
        <is>
          <t>灰彩色全羊毛外套</t>
        </is>
      </c>
      <c r="E37" s="8" t="inlineStr">
        <is>
          <t>L</t>
        </is>
      </c>
      <c r="F37" s="10" t="n">
        <v>799</v>
      </c>
      <c r="G37" s="58" t="n">
        <v>7</v>
      </c>
      <c r="H37" s="58" t="n">
        <v>0</v>
      </c>
      <c r="I37" s="58" t="n">
        <v>0</v>
      </c>
      <c r="J37" s="46">
        <f>G37+H37-I37</f>
        <v/>
      </c>
      <c r="K37" s="21">
        <f>IF(J37=0,"🔴缺货",IF(J37&lt;=2,"🟡低库存","🟢正常"))</f>
        <v/>
      </c>
      <c r="L37" s="8" t="inlineStr"/>
    </row>
    <row r="38" ht="17" customHeight="1">
      <c r="A38" s="4" t="n">
        <v>34</v>
      </c>
      <c r="B38" s="4" t="inlineStr">
        <is>
          <t>TNW-1066-棕格L</t>
        </is>
      </c>
      <c r="C38" s="5" t="inlineStr">
        <is>
          <t>扭捏niunie 复古磨毛加厚双色格子百褶半裙女秋冬拉链中腰短裙</t>
        </is>
      </c>
      <c r="D38" s="5" t="inlineStr">
        <is>
          <t>棕色大格子毛呢短裙</t>
        </is>
      </c>
      <c r="E38" s="4" t="inlineStr">
        <is>
          <t>L</t>
        </is>
      </c>
      <c r="F38" s="6" t="n">
        <v>319</v>
      </c>
      <c r="G38" s="58" t="n">
        <v>6</v>
      </c>
      <c r="H38" s="58" t="n">
        <v>0</v>
      </c>
      <c r="I38" s="58" t="n">
        <v>0</v>
      </c>
      <c r="J38" s="46">
        <f>G38+H38-I38</f>
        <v/>
      </c>
      <c r="K38" s="21">
        <f>IF(J38=0,"🔴缺货",IF(J38&lt;=2,"🟡低库存","🟢正常"))</f>
        <v/>
      </c>
      <c r="L38" s="4" t="inlineStr"/>
    </row>
    <row r="39" ht="17" customHeight="1">
      <c r="A39" s="8" t="n">
        <v>35</v>
      </c>
      <c r="B39" s="8" t="inlineStr">
        <is>
          <t>TNW-1066-棕格M</t>
        </is>
      </c>
      <c r="C39" s="9" t="inlineStr">
        <is>
          <t>扭捏niunie 复古磨毛加厚双色格子百褶半裙女秋冬拉链中腰短裙</t>
        </is>
      </c>
      <c r="D39" s="9" t="inlineStr">
        <is>
          <t>棕色大格子毛呢短裙</t>
        </is>
      </c>
      <c r="E39" s="8" t="inlineStr">
        <is>
          <t>M</t>
        </is>
      </c>
      <c r="F39" s="10" t="n">
        <v>319</v>
      </c>
      <c r="G39" s="58" t="n">
        <v>5</v>
      </c>
      <c r="H39" s="58" t="n">
        <v>0</v>
      </c>
      <c r="I39" s="58" t="n">
        <v>0</v>
      </c>
      <c r="J39" s="46">
        <f>G39+H39-I39</f>
        <v/>
      </c>
      <c r="K39" s="21">
        <f>IF(J39=0,"🔴缺货",IF(J39&lt;=2,"🟡低库存","🟢正常"))</f>
        <v/>
      </c>
      <c r="L39" s="8" t="inlineStr"/>
    </row>
    <row r="40" ht="17" customHeight="1">
      <c r="A40" s="4" t="n">
        <v>36</v>
      </c>
      <c r="B40" s="4" t="inlineStr">
        <is>
          <t>TNW-1066-棕格S</t>
        </is>
      </c>
      <c r="C40" s="5" t="inlineStr">
        <is>
          <t>扭捏niunie 复古磨毛加厚双色格子百褶半裙女秋冬拉链中腰短裙</t>
        </is>
      </c>
      <c r="D40" s="5" t="inlineStr">
        <is>
          <t>棕色大格子毛呢短裙</t>
        </is>
      </c>
      <c r="E40" s="4" t="inlineStr">
        <is>
          <t>S</t>
        </is>
      </c>
      <c r="F40" s="6" t="n">
        <v>319</v>
      </c>
      <c r="G40" s="58" t="n">
        <v>4</v>
      </c>
      <c r="H40" s="58" t="n">
        <v>0</v>
      </c>
      <c r="I40" s="58" t="n">
        <v>0</v>
      </c>
      <c r="J40" s="46">
        <f>G40+H40-I40</f>
        <v/>
      </c>
      <c r="K40" s="21">
        <f>IF(J40=0,"🔴缺货",IF(J40&lt;=2,"🟡低库存","🟢正常"))</f>
        <v/>
      </c>
      <c r="L40" s="4" t="inlineStr"/>
    </row>
    <row r="41" ht="17" customHeight="1">
      <c r="A41" s="8" t="n">
        <v>37</v>
      </c>
      <c r="B41" s="8" t="inlineStr">
        <is>
          <t>TNW-1066-灰格L</t>
        </is>
      </c>
      <c r="C41" s="9" t="inlineStr">
        <is>
          <t>扭捏niunie 复古磨毛加厚双色格子百褶半裙女秋冬拉链中腰短裙</t>
        </is>
      </c>
      <c r="D41" s="9" t="inlineStr">
        <is>
          <t>灰咖格毛呢短裙</t>
        </is>
      </c>
      <c r="E41" s="8" t="inlineStr">
        <is>
          <t>L</t>
        </is>
      </c>
      <c r="F41" s="10" t="n">
        <v>319</v>
      </c>
      <c r="G41" s="58" t="n">
        <v>1</v>
      </c>
      <c r="H41" s="58" t="n">
        <v>0</v>
      </c>
      <c r="I41" s="58" t="n">
        <v>0</v>
      </c>
      <c r="J41" s="46">
        <f>G41+H41-I41</f>
        <v/>
      </c>
      <c r="K41" s="21">
        <f>IF(J41=0,"🔴缺货",IF(J41&lt;=2,"🟡低库存","🟢正常"))</f>
        <v/>
      </c>
      <c r="L41" s="8" t="inlineStr"/>
    </row>
    <row r="42" ht="17" customHeight="1">
      <c r="A42" s="4" t="n">
        <v>38</v>
      </c>
      <c r="B42" s="4" t="inlineStr">
        <is>
          <t>TNW-1066-灰格M</t>
        </is>
      </c>
      <c r="C42" s="5" t="inlineStr">
        <is>
          <t>扭捏niunie 复古磨毛加厚双色格子百褶半裙女秋冬拉链中腰短裙</t>
        </is>
      </c>
      <c r="D42" s="5" t="inlineStr">
        <is>
          <t>灰咖格毛呢短裙</t>
        </is>
      </c>
      <c r="E42" s="4" t="inlineStr">
        <is>
          <t>M</t>
        </is>
      </c>
      <c r="F42" s="6" t="n">
        <v>319</v>
      </c>
      <c r="G42" s="58" t="n">
        <v>1</v>
      </c>
      <c r="H42" s="58" t="n">
        <v>0</v>
      </c>
      <c r="I42" s="58" t="n">
        <v>0</v>
      </c>
      <c r="J42" s="46">
        <f>G42+H42-I42</f>
        <v/>
      </c>
      <c r="K42" s="21">
        <f>IF(J42=0,"🔴缺货",IF(J42&lt;=2,"🟡低库存","🟢正常"))</f>
        <v/>
      </c>
      <c r="L42" s="4" t="inlineStr"/>
    </row>
    <row r="43" ht="17" customHeight="1">
      <c r="A43" s="8" t="n">
        <v>39</v>
      </c>
      <c r="B43" s="8" t="inlineStr">
        <is>
          <t>TNW-1066-灰格S</t>
        </is>
      </c>
      <c r="C43" s="9" t="inlineStr">
        <is>
          <t>扭捏niunie 复古磨毛加厚双色格子百褶半裙女秋冬拉链中腰短裙</t>
        </is>
      </c>
      <c r="D43" s="9" t="inlineStr">
        <is>
          <t>灰咖格毛呢短裙</t>
        </is>
      </c>
      <c r="E43" s="8" t="inlineStr">
        <is>
          <t>S</t>
        </is>
      </c>
      <c r="F43" s="10" t="n">
        <v>319</v>
      </c>
      <c r="G43" s="58" t="n">
        <v>0</v>
      </c>
      <c r="H43" s="58" t="n">
        <v>0</v>
      </c>
      <c r="I43" s="58" t="n">
        <v>0</v>
      </c>
      <c r="J43" s="46">
        <f>G43+H43-I43</f>
        <v/>
      </c>
      <c r="K43" s="21">
        <f>IF(J43=0,"🔴缺货",IF(J43&lt;=2,"🟡低库存","🟢正常"))</f>
        <v/>
      </c>
      <c r="L43" s="8" t="inlineStr"/>
    </row>
    <row r="44" ht="17" customHeight="1">
      <c r="A44" s="4" t="n">
        <v>40</v>
      </c>
      <c r="B44" s="4" t="inlineStr">
        <is>
          <t>TNW-1026-灰紫M</t>
        </is>
      </c>
      <c r="C44" s="5" t="inlineStr">
        <is>
          <t>扭捏niunie 原创灯芯绒拼接风衣90白鹅绒服宽松双色羽绒服女冬季</t>
        </is>
      </c>
      <c r="D44" s="5" t="inlineStr">
        <is>
          <t>灰紫色90白鹅绒服</t>
        </is>
      </c>
      <c r="E44" s="4" t="inlineStr">
        <is>
          <t>M</t>
        </is>
      </c>
      <c r="F44" s="6" t="n">
        <v>1599</v>
      </c>
      <c r="G44" s="58" t="n">
        <v>15</v>
      </c>
      <c r="H44" s="58" t="n">
        <v>0</v>
      </c>
      <c r="I44" s="58" t="n">
        <v>0</v>
      </c>
      <c r="J44" s="46">
        <f>G44+H44-I44</f>
        <v/>
      </c>
      <c r="K44" s="21">
        <f>IF(J44=0,"🔴缺货",IF(J44&lt;=2,"🟡低库存","🟢正常"))</f>
        <v/>
      </c>
      <c r="L44" s="4" t="inlineStr"/>
    </row>
    <row r="45" ht="17" customHeight="1">
      <c r="A45" s="8" t="n">
        <v>41</v>
      </c>
      <c r="B45" s="8" t="inlineStr">
        <is>
          <t>TNW-1026-灰紫S</t>
        </is>
      </c>
      <c r="C45" s="9" t="inlineStr">
        <is>
          <t>扭捏niunie 原创灯芯绒拼接风衣90白鹅绒服宽松双色羽绒服女冬季</t>
        </is>
      </c>
      <c r="D45" s="9" t="inlineStr">
        <is>
          <t>灰紫色90白鹅绒服</t>
        </is>
      </c>
      <c r="E45" s="8" t="inlineStr">
        <is>
          <t>S</t>
        </is>
      </c>
      <c r="F45" s="10" t="n">
        <v>1599</v>
      </c>
      <c r="G45" s="58" t="n">
        <v>18</v>
      </c>
      <c r="H45" s="58" t="n">
        <v>0</v>
      </c>
      <c r="I45" s="58" t="n">
        <v>0</v>
      </c>
      <c r="J45" s="46">
        <f>G45+H45-I45</f>
        <v/>
      </c>
      <c r="K45" s="21">
        <f>IF(J45=0,"🔴缺货",IF(J45&lt;=2,"🟡低库存","🟢正常"))</f>
        <v/>
      </c>
      <c r="L45" s="8" t="inlineStr"/>
    </row>
    <row r="46" ht="17" customHeight="1">
      <c r="A46" s="4" t="n">
        <v>42</v>
      </c>
      <c r="B46" s="4" t="inlineStr">
        <is>
          <t>TNW-1022-蓝M</t>
        </is>
      </c>
      <c r="C46" s="5" t="inlineStr">
        <is>
          <t>扭捏niunie 原创碎花蓝色紫色双面穿 90白鹅绒羽绒服女面包服冬季</t>
        </is>
      </c>
      <c r="D46" s="5" t="inlineStr">
        <is>
          <t>淡紫色碎花鹅绒服</t>
        </is>
      </c>
      <c r="E46" s="4" t="inlineStr">
        <is>
          <t>M</t>
        </is>
      </c>
      <c r="F46" s="6" t="n">
        <v>1699</v>
      </c>
      <c r="G46" s="58" t="n">
        <v>0</v>
      </c>
      <c r="H46" s="58" t="n">
        <v>0</v>
      </c>
      <c r="I46" s="58" t="n">
        <v>0</v>
      </c>
      <c r="J46" s="46">
        <f>G46+H46-I46</f>
        <v/>
      </c>
      <c r="K46" s="21">
        <f>IF(J46=0,"🔴缺货",IF(J46&lt;=2,"🟡低库存","🟢正常"))</f>
        <v/>
      </c>
      <c r="L46" s="4" t="inlineStr"/>
    </row>
    <row r="47" ht="17" customHeight="1">
      <c r="A47" s="8" t="n">
        <v>43</v>
      </c>
      <c r="B47" s="8" t="inlineStr">
        <is>
          <t>TNW-1022-蓝S</t>
        </is>
      </c>
      <c r="C47" s="9" t="inlineStr">
        <is>
          <t>扭捏niunie 原创碎花蓝色紫色双面穿 90白鹅绒羽绒服女面包服冬季</t>
        </is>
      </c>
      <c r="D47" s="9" t="inlineStr">
        <is>
          <t>淡紫色碎花鹅绒服</t>
        </is>
      </c>
      <c r="E47" s="8" t="inlineStr">
        <is>
          <t>S</t>
        </is>
      </c>
      <c r="F47" s="10" t="n">
        <v>1699</v>
      </c>
      <c r="G47" s="58" t="n">
        <v>0</v>
      </c>
      <c r="H47" s="58" t="n">
        <v>0</v>
      </c>
      <c r="I47" s="58" t="n">
        <v>0</v>
      </c>
      <c r="J47" s="46">
        <f>G47+H47-I47</f>
        <v/>
      </c>
      <c r="K47" s="21">
        <f>IF(J47=0,"🔴缺货",IF(J47&lt;=2,"🟡低库存","🟢正常"))</f>
        <v/>
      </c>
      <c r="L47" s="8" t="inlineStr"/>
    </row>
    <row r="48" ht="17" customHeight="1">
      <c r="A48" s="4" t="n">
        <v>44</v>
      </c>
      <c r="B48" s="4" t="inlineStr">
        <is>
          <t>TNW-1022-紫M</t>
        </is>
      </c>
      <c r="C48" s="5" t="inlineStr">
        <is>
          <t>扭捏niunie 原创碎花蓝色紫色双面穿 90白鹅绒羽绒服女面包服冬季</t>
        </is>
      </c>
      <c r="D48" s="5" t="inlineStr">
        <is>
          <t>浅蓝色碎花鹅绒服</t>
        </is>
      </c>
      <c r="E48" s="4" t="inlineStr">
        <is>
          <t>M</t>
        </is>
      </c>
      <c r="F48" s="6" t="n">
        <v>1699</v>
      </c>
      <c r="G48" s="58" t="n">
        <v>0</v>
      </c>
      <c r="H48" s="58" t="n">
        <v>0</v>
      </c>
      <c r="I48" s="58" t="n">
        <v>0</v>
      </c>
      <c r="J48" s="46">
        <f>G48+H48-I48</f>
        <v/>
      </c>
      <c r="K48" s="21">
        <f>IF(J48=0,"🔴缺货",IF(J48&lt;=2,"🟡低库存","🟢正常"))</f>
        <v/>
      </c>
      <c r="L48" s="4" t="inlineStr"/>
    </row>
    <row r="49" ht="17" customHeight="1">
      <c r="A49" s="8" t="n">
        <v>45</v>
      </c>
      <c r="B49" s="8" t="inlineStr">
        <is>
          <t>TNW-1022-紫S</t>
        </is>
      </c>
      <c r="C49" s="9" t="inlineStr">
        <is>
          <t>扭捏niunie 原创碎花蓝色紫色双面穿 90白鹅绒羽绒服女面包服冬季</t>
        </is>
      </c>
      <c r="D49" s="9" t="inlineStr">
        <is>
          <t>浅蓝色碎花鹅绒服</t>
        </is>
      </c>
      <c r="E49" s="8" t="inlineStr">
        <is>
          <t>S</t>
        </is>
      </c>
      <c r="F49" s="10" t="n">
        <v>1699</v>
      </c>
      <c r="G49" s="58" t="n">
        <v>0</v>
      </c>
      <c r="H49" s="58" t="n">
        <v>0</v>
      </c>
      <c r="I49" s="58" t="n">
        <v>0</v>
      </c>
      <c r="J49" s="46">
        <f>G49+H49-I49</f>
        <v/>
      </c>
      <c r="K49" s="21">
        <f>IF(J49=0,"🔴缺货",IF(J49&lt;=2,"🟡低库存","🟢正常"))</f>
        <v/>
      </c>
      <c r="L49" s="8" t="inlineStr"/>
    </row>
    <row r="50" ht="17" customHeight="1">
      <c r="A50" s="4" t="n">
        <v>46</v>
      </c>
      <c r="B50" s="4" t="inlineStr">
        <is>
          <t>TNW-1026-栗M</t>
        </is>
      </c>
      <c r="C50" s="5" t="inlineStr">
        <is>
          <t>扭捏niunie原创设计可拆卸豹纹领栗子色90白鹅绒保暖羽绒服女冬季</t>
        </is>
      </c>
      <c r="D50" s="5" t="inlineStr">
        <is>
          <t>栗子色90白鹅绒服</t>
        </is>
      </c>
      <c r="E50" s="4" t="inlineStr">
        <is>
          <t>M</t>
        </is>
      </c>
      <c r="F50" s="6" t="n">
        <v>1599</v>
      </c>
      <c r="G50" s="58" t="n">
        <v>20</v>
      </c>
      <c r="H50" s="58" t="n">
        <v>0</v>
      </c>
      <c r="I50" s="58" t="n">
        <v>0</v>
      </c>
      <c r="J50" s="46">
        <f>G50+H50-I50</f>
        <v/>
      </c>
      <c r="K50" s="21">
        <f>IF(J50=0,"🔴缺货",IF(J50&lt;=2,"🟡低库存","🟢正常"))</f>
        <v/>
      </c>
      <c r="L50" s="4" t="inlineStr"/>
    </row>
    <row r="51" ht="17" customHeight="1">
      <c r="A51" s="8" t="n">
        <v>47</v>
      </c>
      <c r="B51" s="8" t="inlineStr">
        <is>
          <t>TNW-1026-栗S</t>
        </is>
      </c>
      <c r="C51" s="9" t="inlineStr">
        <is>
          <t>扭捏niunie原创设计可拆卸豹纹领栗子色90白鹅绒保暖羽绒服女冬季</t>
        </is>
      </c>
      <c r="D51" s="9" t="inlineStr">
        <is>
          <t>栗子色90白鹅绒服</t>
        </is>
      </c>
      <c r="E51" s="8" t="inlineStr">
        <is>
          <t>S</t>
        </is>
      </c>
      <c r="F51" s="10" t="n">
        <v>1599</v>
      </c>
      <c r="G51" s="58" t="n">
        <v>19</v>
      </c>
      <c r="H51" s="58" t="n">
        <v>0</v>
      </c>
      <c r="I51" s="58" t="n">
        <v>0</v>
      </c>
      <c r="J51" s="46">
        <f>G51+H51-I51</f>
        <v/>
      </c>
      <c r="K51" s="21">
        <f>IF(J51=0,"🔴缺货",IF(J51&lt;=2,"🟡低库存","🟢正常"))</f>
        <v/>
      </c>
      <c r="L51" s="8" t="inlineStr"/>
    </row>
    <row r="52" ht="17" customHeight="1">
      <c r="A52" s="4" t="n">
        <v>48</v>
      </c>
      <c r="B52" s="4" t="inlineStr">
        <is>
          <t>TNW-1015-M</t>
        </is>
      </c>
      <c r="C52" s="5" t="inlineStr">
        <is>
          <t>扭捏niunie英国陶瓷扣碎花拼接设计100%羊毛呢外套半裙套装女秋冬</t>
        </is>
      </c>
      <c r="D52" s="5" t="inlineStr">
        <is>
          <t>灰彩色全羊毛半裙</t>
        </is>
      </c>
      <c r="E52" s="4" t="inlineStr">
        <is>
          <t>M</t>
        </is>
      </c>
      <c r="F52" s="6" t="n">
        <v>459</v>
      </c>
      <c r="G52" s="58" t="n">
        <v>6</v>
      </c>
      <c r="H52" s="58" t="n">
        <v>0</v>
      </c>
      <c r="I52" s="58" t="n">
        <v>0</v>
      </c>
      <c r="J52" s="46">
        <f>G52+H52-I52</f>
        <v/>
      </c>
      <c r="K52" s="21">
        <f>IF(J52=0,"🔴缺货",IF(J52&lt;=2,"🟡低库存","🟢正常"))</f>
        <v/>
      </c>
      <c r="L52" s="4" t="inlineStr"/>
    </row>
    <row r="53" ht="17" customHeight="1">
      <c r="A53" s="8" t="n">
        <v>49</v>
      </c>
      <c r="B53" s="8" t="inlineStr">
        <is>
          <t>TNW-1038-M</t>
        </is>
      </c>
      <c r="C53" s="9" t="inlineStr">
        <is>
          <t>扭捏niunie英国陶瓷扣碎花拼接设计100%羊毛呢外套半裙套装女秋冬</t>
        </is>
      </c>
      <c r="D53" s="9" t="inlineStr">
        <is>
          <t>灰彩色全羊毛外套</t>
        </is>
      </c>
      <c r="E53" s="8" t="inlineStr">
        <is>
          <t>M</t>
        </is>
      </c>
      <c r="F53" s="10" t="n">
        <v>799</v>
      </c>
      <c r="G53" s="58" t="n">
        <v>5</v>
      </c>
      <c r="H53" s="58" t="n">
        <v>0</v>
      </c>
      <c r="I53" s="58" t="n">
        <v>0</v>
      </c>
      <c r="J53" s="46">
        <f>G53+H53-I53</f>
        <v/>
      </c>
      <c r="K53" s="21">
        <f>IF(J53=0,"🔴缺货",IF(J53&lt;=2,"🟡低库存","🟢正常"))</f>
        <v/>
      </c>
      <c r="L53" s="8" t="inlineStr"/>
    </row>
    <row r="54" ht="17" customHeight="1">
      <c r="A54" s="4" t="n">
        <v>50</v>
      </c>
      <c r="B54" s="4" t="inlineStr">
        <is>
          <t>TNW-1015-S</t>
        </is>
      </c>
      <c r="C54" s="5" t="inlineStr">
        <is>
          <t>扭捏niunie英国陶瓷扣碎花拼接设计100%羊毛呢外套半裙套装女秋冬</t>
        </is>
      </c>
      <c r="D54" s="5" t="inlineStr">
        <is>
          <t>灰彩色全羊毛半裙</t>
        </is>
      </c>
      <c r="E54" s="4" t="inlineStr">
        <is>
          <t>S</t>
        </is>
      </c>
      <c r="F54" s="6" t="n">
        <v>459</v>
      </c>
      <c r="G54" s="58" t="n">
        <v>1</v>
      </c>
      <c r="H54" s="58" t="n">
        <v>0</v>
      </c>
      <c r="I54" s="58" t="n">
        <v>0</v>
      </c>
      <c r="J54" s="46">
        <f>G54+H54-I54</f>
        <v/>
      </c>
      <c r="K54" s="21">
        <f>IF(J54=0,"🔴缺货",IF(J54&lt;=2,"🟡低库存","🟢正常"))</f>
        <v/>
      </c>
      <c r="L54" s="4" t="inlineStr"/>
    </row>
    <row r="55" ht="17" customHeight="1">
      <c r="A55" s="8" t="n">
        <v>51</v>
      </c>
      <c r="B55" s="8" t="inlineStr">
        <is>
          <t>TNW-1038-S</t>
        </is>
      </c>
      <c r="C55" s="9" t="inlineStr">
        <is>
          <t>扭捏niunie英国陶瓷扣碎花拼接设计100%羊毛呢外套半裙套装女秋冬</t>
        </is>
      </c>
      <c r="D55" s="9" t="inlineStr">
        <is>
          <t>灰彩色全羊毛外套</t>
        </is>
      </c>
      <c r="E55" s="8" t="inlineStr">
        <is>
          <t>S</t>
        </is>
      </c>
      <c r="F55" s="10" t="n">
        <v>799</v>
      </c>
      <c r="G55" s="58" t="n">
        <v>13</v>
      </c>
      <c r="H55" s="58" t="n">
        <v>0</v>
      </c>
      <c r="I55" s="58" t="n">
        <v>0</v>
      </c>
      <c r="J55" s="46">
        <f>G55+H55-I55</f>
        <v/>
      </c>
      <c r="K55" s="21">
        <f>IF(J55=0,"🔴缺货",IF(J55&lt;=2,"🟡低库存","🟢正常"))</f>
        <v/>
      </c>
      <c r="L55" s="8" t="inlineStr"/>
    </row>
    <row r="56" ht="17" customHeight="1">
      <c r="A56" s="4" t="n">
        <v>52</v>
      </c>
      <c r="B56" s="4" t="inlineStr">
        <is>
          <t>TNW-1065-灰M</t>
        </is>
      </c>
      <c r="C56" s="5" t="inlineStr">
        <is>
          <t>扭捏niunie 复古豹纹领拼接双色打底上衣修身显瘦保暖长袖T恤秋冬</t>
        </is>
      </c>
      <c r="D56" s="5" t="inlineStr">
        <is>
          <t>灰色豹纹拼接上衣</t>
        </is>
      </c>
      <c r="E56" s="4" t="inlineStr">
        <is>
          <t>M</t>
        </is>
      </c>
      <c r="F56" s="6" t="n">
        <v>319</v>
      </c>
      <c r="G56" s="58" t="n">
        <v>0</v>
      </c>
      <c r="H56" s="58" t="n">
        <v>0</v>
      </c>
      <c r="I56" s="58" t="n">
        <v>0</v>
      </c>
      <c r="J56" s="46">
        <f>G56+H56-I56</f>
        <v/>
      </c>
      <c r="K56" s="21">
        <f>IF(J56=0,"🔴缺货",IF(J56&lt;=2,"🟡低库存","🟢正常"))</f>
        <v/>
      </c>
      <c r="L56" s="4" t="inlineStr"/>
    </row>
    <row r="57" ht="17" customHeight="1">
      <c r="A57" s="8" t="n">
        <v>53</v>
      </c>
      <c r="B57" s="8" t="inlineStr">
        <is>
          <t>TNW-1065-灰S</t>
        </is>
      </c>
      <c r="C57" s="9" t="inlineStr">
        <is>
          <t>扭捏niunie 复古豹纹领拼接双色打底上衣修身显瘦保暖长袖T恤秋冬</t>
        </is>
      </c>
      <c r="D57" s="9" t="inlineStr">
        <is>
          <t>灰色豹纹拼接上衣</t>
        </is>
      </c>
      <c r="E57" s="8" t="inlineStr">
        <is>
          <t>S</t>
        </is>
      </c>
      <c r="F57" s="10" t="n">
        <v>319</v>
      </c>
      <c r="G57" s="58" t="n">
        <v>0</v>
      </c>
      <c r="H57" s="58" t="n">
        <v>0</v>
      </c>
      <c r="I57" s="58" t="n">
        <v>0</v>
      </c>
      <c r="J57" s="46">
        <f>G57+H57-I57</f>
        <v/>
      </c>
      <c r="K57" s="21">
        <f>IF(J57=0,"🔴缺货",IF(J57&lt;=2,"🟡低库存","🟢正常"))</f>
        <v/>
      </c>
      <c r="L57" s="8" t="inlineStr"/>
    </row>
    <row r="58" ht="17" customHeight="1">
      <c r="A58" s="4" t="n">
        <v>54</v>
      </c>
      <c r="B58" s="4" t="inlineStr">
        <is>
          <t>TNW-1065-棕M</t>
        </is>
      </c>
      <c r="C58" s="5" t="inlineStr">
        <is>
          <t>扭捏niunie 复古豹纹领拼接双色打底上衣修身显瘦保暖长袖T恤秋冬</t>
        </is>
      </c>
      <c r="D58" s="5" t="inlineStr">
        <is>
          <t>棕色豹纹拼接上衣</t>
        </is>
      </c>
      <c r="E58" s="4" t="inlineStr">
        <is>
          <t>M</t>
        </is>
      </c>
      <c r="F58" s="6" t="n">
        <v>319</v>
      </c>
      <c r="G58" s="58" t="n">
        <v>0</v>
      </c>
      <c r="H58" s="58" t="n">
        <v>0</v>
      </c>
      <c r="I58" s="58" t="n">
        <v>0</v>
      </c>
      <c r="J58" s="46">
        <f>G58+H58-I58</f>
        <v/>
      </c>
      <c r="K58" s="21">
        <f>IF(J58=0,"🔴缺货",IF(J58&lt;=2,"🟡低库存","🟢正常"))</f>
        <v/>
      </c>
      <c r="L58" s="4" t="inlineStr"/>
    </row>
    <row r="59" ht="17" customHeight="1">
      <c r="A59" s="8" t="n">
        <v>55</v>
      </c>
      <c r="B59" s="8" t="inlineStr">
        <is>
          <t>TNW-1065-棕S</t>
        </is>
      </c>
      <c r="C59" s="9" t="inlineStr">
        <is>
          <t>扭捏niunie 复古豹纹领拼接双色打底上衣修身显瘦保暖长袖T恤秋冬</t>
        </is>
      </c>
      <c r="D59" s="9" t="inlineStr">
        <is>
          <t>棕色豹纹拼接上衣</t>
        </is>
      </c>
      <c r="E59" s="8" t="inlineStr">
        <is>
          <t>S</t>
        </is>
      </c>
      <c r="F59" s="10" t="n">
        <v>319</v>
      </c>
      <c r="G59" s="58" t="n">
        <v>0</v>
      </c>
      <c r="H59" s="58" t="n">
        <v>0</v>
      </c>
      <c r="I59" s="58" t="n">
        <v>0</v>
      </c>
      <c r="J59" s="46">
        <f>G59+H59-I59</f>
        <v/>
      </c>
      <c r="K59" s="21">
        <f>IF(J59=0,"🔴缺货",IF(J59&lt;=2,"🟡低库存","🟢正常"))</f>
        <v/>
      </c>
      <c r="L59" s="8" t="inlineStr"/>
    </row>
    <row r="60" ht="17" customHeight="1">
      <c r="A60" s="4" t="n">
        <v>56</v>
      </c>
      <c r="B60" s="4" t="inlineStr">
        <is>
          <t>TNW-0902-M</t>
        </is>
      </c>
      <c r="C60" s="5" t="inlineStr">
        <is>
          <t>扭捏niunie 100%全羊毛棕色毛呢外套碎花拼接双层半裙套装女秋冬</t>
        </is>
      </c>
      <c r="D60" s="5" t="inlineStr">
        <is>
          <t>碎花拼接毛呢短裙</t>
        </is>
      </c>
      <c r="E60" s="4" t="inlineStr">
        <is>
          <t>M</t>
        </is>
      </c>
      <c r="F60" s="6" t="n">
        <v>459</v>
      </c>
      <c r="G60" s="58" t="n">
        <v>1</v>
      </c>
      <c r="H60" s="58" t="n">
        <v>0</v>
      </c>
      <c r="I60" s="58" t="n">
        <v>0</v>
      </c>
      <c r="J60" s="46">
        <f>G60+H60-I60</f>
        <v/>
      </c>
      <c r="K60" s="21">
        <f>IF(J60=0,"🔴缺货",IF(J60&lt;=2,"🟡低库存","🟢正常"))</f>
        <v/>
      </c>
      <c r="L60" s="4" t="inlineStr"/>
    </row>
    <row r="61" ht="17" customHeight="1">
      <c r="A61" s="8" t="n">
        <v>57</v>
      </c>
      <c r="B61" s="8" t="inlineStr">
        <is>
          <t>TNW-0928-M</t>
        </is>
      </c>
      <c r="C61" s="9" t="inlineStr">
        <is>
          <t>扭捏niunie 100%全羊毛棕色毛呢外套碎花拼接双层半裙套装女秋冬</t>
        </is>
      </c>
      <c r="D61" s="9" t="inlineStr">
        <is>
          <t>棕色全羊毛外套</t>
        </is>
      </c>
      <c r="E61" s="8" t="inlineStr">
        <is>
          <t>M</t>
        </is>
      </c>
      <c r="F61" s="10" t="n">
        <v>769</v>
      </c>
      <c r="G61" s="58" t="n">
        <v>1</v>
      </c>
      <c r="H61" s="58" t="n">
        <v>0</v>
      </c>
      <c r="I61" s="58" t="n">
        <v>0</v>
      </c>
      <c r="J61" s="46">
        <f>G61+H61-I61</f>
        <v/>
      </c>
      <c r="K61" s="21">
        <f>IF(J61=0,"🔴缺货",IF(J61&lt;=2,"🟡低库存","🟢正常"))</f>
        <v/>
      </c>
      <c r="L61" s="8" t="inlineStr"/>
    </row>
    <row r="62" ht="17" customHeight="1">
      <c r="A62" s="4" t="n">
        <v>58</v>
      </c>
      <c r="B62" s="4" t="inlineStr">
        <is>
          <t>TNW-0902-S</t>
        </is>
      </c>
      <c r="C62" s="5" t="inlineStr">
        <is>
          <t>扭捏niunie 100%全羊毛棕色毛呢外套碎花拼接双层半裙套装女秋冬</t>
        </is>
      </c>
      <c r="D62" s="5" t="inlineStr">
        <is>
          <t>碎花拼接毛呢短裙</t>
        </is>
      </c>
      <c r="E62" s="4" t="inlineStr">
        <is>
          <t>S</t>
        </is>
      </c>
      <c r="F62" s="6" t="n">
        <v>459</v>
      </c>
      <c r="G62" s="58" t="n">
        <v>1</v>
      </c>
      <c r="H62" s="58" t="n">
        <v>0</v>
      </c>
      <c r="I62" s="58" t="n">
        <v>0</v>
      </c>
      <c r="J62" s="46">
        <f>G62+H62-I62</f>
        <v/>
      </c>
      <c r="K62" s="21">
        <f>IF(J62=0,"🔴缺货",IF(J62&lt;=2,"🟡低库存","🟢正常"))</f>
        <v/>
      </c>
      <c r="L62" s="4" t="inlineStr"/>
    </row>
    <row r="63" ht="17" customHeight="1">
      <c r="A63" s="8" t="n">
        <v>59</v>
      </c>
      <c r="B63" s="8" t="inlineStr">
        <is>
          <t>TNW-0928-S</t>
        </is>
      </c>
      <c r="C63" s="9" t="inlineStr">
        <is>
          <t>扭捏niunie 100%全羊毛棕色毛呢外套碎花拼接双层半裙套装女秋冬</t>
        </is>
      </c>
      <c r="D63" s="9" t="inlineStr">
        <is>
          <t>棕色全羊毛外套</t>
        </is>
      </c>
      <c r="E63" s="8" t="inlineStr">
        <is>
          <t>S</t>
        </is>
      </c>
      <c r="F63" s="10" t="n">
        <v>769</v>
      </c>
      <c r="G63" s="58" t="n">
        <v>1</v>
      </c>
      <c r="H63" s="58" t="n">
        <v>0</v>
      </c>
      <c r="I63" s="58" t="n">
        <v>0</v>
      </c>
      <c r="J63" s="46">
        <f>G63+H63-I63</f>
        <v/>
      </c>
      <c r="K63" s="21">
        <f>IF(J63=0,"🔴缺货",IF(J63&lt;=2,"🟡低库存","🟢正常"))</f>
        <v/>
      </c>
      <c r="L63" s="8" t="inlineStr"/>
    </row>
    <row r="64" ht="17" customHeight="1">
      <c r="A64" s="4" t="n">
        <v>60</v>
      </c>
      <c r="B64" s="4" t="inlineStr">
        <is>
          <t>TNW-0907-M</t>
        </is>
      </c>
      <c r="C64" s="5" t="inlineStr">
        <is>
          <t>扭捏niunie原创紫色碎花双面穿毛巾布连帽拉链卫衣女宽松开衫外套</t>
        </is>
      </c>
      <c r="D64" s="5" t="inlineStr">
        <is>
          <t>紫色碎花双面穿卫衣</t>
        </is>
      </c>
      <c r="E64" s="4" t="inlineStr">
        <is>
          <t>M</t>
        </is>
      </c>
      <c r="F64" s="6" t="n">
        <v>549</v>
      </c>
      <c r="G64" s="58" t="n">
        <v>0</v>
      </c>
      <c r="H64" s="58" t="n">
        <v>0</v>
      </c>
      <c r="I64" s="58" t="n">
        <v>0</v>
      </c>
      <c r="J64" s="46">
        <f>G64+H64-I64</f>
        <v/>
      </c>
      <c r="K64" s="21">
        <f>IF(J64=0,"🔴缺货",IF(J64&lt;=2,"🟡低库存","🟢正常"))</f>
        <v/>
      </c>
      <c r="L64" s="4" t="inlineStr"/>
    </row>
    <row r="65" ht="17" customHeight="1">
      <c r="A65" s="8" t="n">
        <v>61</v>
      </c>
      <c r="B65" s="8" t="inlineStr">
        <is>
          <t>TNW-0907-S</t>
        </is>
      </c>
      <c r="C65" s="9" t="inlineStr">
        <is>
          <t>扭捏niunie原创紫色碎花双面穿毛巾布连帽拉链卫衣女宽松开衫外套</t>
        </is>
      </c>
      <c r="D65" s="9" t="inlineStr">
        <is>
          <t>紫色碎花双面穿卫衣</t>
        </is>
      </c>
      <c r="E65" s="8" t="inlineStr">
        <is>
          <t>S</t>
        </is>
      </c>
      <c r="F65" s="10" t="n">
        <v>549</v>
      </c>
      <c r="G65" s="58" t="n">
        <v>0</v>
      </c>
      <c r="H65" s="58" t="n">
        <v>0</v>
      </c>
      <c r="I65" s="58" t="n">
        <v>0</v>
      </c>
      <c r="J65" s="46">
        <f>G65+H65-I65</f>
        <v/>
      </c>
      <c r="K65" s="21">
        <f>IF(J65=0,"🔴缺货",IF(J65&lt;=2,"🟡低库存","🟢正常"))</f>
        <v/>
      </c>
      <c r="L65" s="8" t="inlineStr"/>
    </row>
    <row r="66" ht="17" customHeight="1">
      <c r="A66" s="4" t="n">
        <v>62</v>
      </c>
      <c r="B66" s="4" t="inlineStr">
        <is>
          <t>TNW-1025-M</t>
        </is>
      </c>
      <c r="C66" s="5" t="inlineStr">
        <is>
          <t>扭捏niunie原创设计 复古条纹直筒休闲裤宽松显瘦阔腿裤长裤女</t>
        </is>
      </c>
      <c r="D66" s="5" t="inlineStr">
        <is>
          <t>条纹休闲裤</t>
        </is>
      </c>
      <c r="E66" s="4" t="inlineStr">
        <is>
          <t>M</t>
        </is>
      </c>
      <c r="F66" s="6" t="n">
        <v>369</v>
      </c>
      <c r="G66" s="58" t="n">
        <v>7</v>
      </c>
      <c r="H66" s="58" t="n">
        <v>0</v>
      </c>
      <c r="I66" s="58" t="n">
        <v>0</v>
      </c>
      <c r="J66" s="46">
        <f>G66+H66-I66</f>
        <v/>
      </c>
      <c r="K66" s="21">
        <f>IF(J66=0,"🔴缺货",IF(J66&lt;=2,"🟡低库存","🟢正常"))</f>
        <v/>
      </c>
      <c r="L66" s="4" t="inlineStr"/>
    </row>
    <row r="67" ht="17" customHeight="1">
      <c r="A67" s="8" t="n">
        <v>63</v>
      </c>
      <c r="B67" s="8" t="inlineStr">
        <is>
          <t>TNW-1025-S</t>
        </is>
      </c>
      <c r="C67" s="9" t="inlineStr">
        <is>
          <t>扭捏niunie原创设计 复古条纹直筒休闲裤宽松显瘦阔腿裤长裤女</t>
        </is>
      </c>
      <c r="D67" s="9" t="inlineStr">
        <is>
          <t>条纹休闲裤</t>
        </is>
      </c>
      <c r="E67" s="8" t="inlineStr">
        <is>
          <t>S</t>
        </is>
      </c>
      <c r="F67" s="10" t="n">
        <v>369</v>
      </c>
      <c r="G67" s="58" t="n">
        <v>7</v>
      </c>
      <c r="H67" s="58" t="n">
        <v>0</v>
      </c>
      <c r="I67" s="58" t="n">
        <v>0</v>
      </c>
      <c r="J67" s="46">
        <f>G67+H67-I67</f>
        <v/>
      </c>
      <c r="K67" s="21">
        <f>IF(J67=0,"🔴缺货",IF(J67&lt;=2,"🟡低库存","🟢正常"))</f>
        <v/>
      </c>
      <c r="L67" s="8" t="inlineStr"/>
    </row>
    <row r="68" ht="17" customHeight="1">
      <c r="A68" s="4" t="n">
        <v>64</v>
      </c>
      <c r="B68" s="4" t="inlineStr">
        <is>
          <t>NN-2523-M</t>
        </is>
      </c>
      <c r="C68" s="5" t="inlineStr">
        <is>
          <t>扭捏niunie原创设计丝绒格子碎花拼接半身裙宽松中腰A字中长裙</t>
        </is>
      </c>
      <c r="D68" s="5" t="inlineStr">
        <is>
          <t>紫色丝绒拼接半裙</t>
        </is>
      </c>
      <c r="E68" s="4" t="inlineStr">
        <is>
          <t>M</t>
        </is>
      </c>
      <c r="F68" s="6" t="n">
        <v>399</v>
      </c>
      <c r="G68" s="58" t="n">
        <v>19</v>
      </c>
      <c r="H68" s="58" t="n">
        <v>0</v>
      </c>
      <c r="I68" s="58" t="n">
        <v>0</v>
      </c>
      <c r="J68" s="46">
        <f>G68+H68-I68</f>
        <v/>
      </c>
      <c r="K68" s="21">
        <f>IF(J68=0,"🔴缺货",IF(J68&lt;=2,"🟡低库存","🟢正常"))</f>
        <v/>
      </c>
      <c r="L68" s="4" t="inlineStr"/>
    </row>
    <row r="69" ht="17" customHeight="1">
      <c r="A69" s="8" t="n">
        <v>65</v>
      </c>
      <c r="B69" s="8" t="inlineStr">
        <is>
          <t>NN-2523-S</t>
        </is>
      </c>
      <c r="C69" s="9" t="inlineStr">
        <is>
          <t>扭捏niunie原创设计丝绒格子碎花拼接半身裙宽松中腰A字中长裙</t>
        </is>
      </c>
      <c r="D69" s="9" t="inlineStr">
        <is>
          <t>紫色丝绒拼接半裙</t>
        </is>
      </c>
      <c r="E69" s="8" t="inlineStr">
        <is>
          <t>S</t>
        </is>
      </c>
      <c r="F69" s="10" t="n">
        <v>399</v>
      </c>
      <c r="G69" s="58" t="n">
        <v>17</v>
      </c>
      <c r="H69" s="58" t="n">
        <v>0</v>
      </c>
      <c r="I69" s="58" t="n">
        <v>0</v>
      </c>
      <c r="J69" s="46">
        <f>G69+H69-I69</f>
        <v/>
      </c>
      <c r="K69" s="21">
        <f>IF(J69=0,"🔴缺货",IF(J69&lt;=2,"🟡低库存","🟢正常"))</f>
        <v/>
      </c>
      <c r="L69" s="8" t="inlineStr"/>
    </row>
    <row r="70" ht="17" customHeight="1">
      <c r="A70" s="4" t="n">
        <v>66</v>
      </c>
      <c r="B70" s="4" t="inlineStr">
        <is>
          <t>NN2551-棕M</t>
        </is>
      </c>
      <c r="C70" s="5" t="inlineStr">
        <is>
          <t>扭捏niunie原创设计{爱读书的小猫}浅棕色圆领套头百搭针织毛衣女</t>
        </is>
      </c>
      <c r="D70" s="5" t="inlineStr">
        <is>
          <t>浅棕色小猫毛衣</t>
        </is>
      </c>
      <c r="E70" s="4" t="inlineStr">
        <is>
          <t>M</t>
        </is>
      </c>
      <c r="F70" s="6" t="n">
        <v>369</v>
      </c>
      <c r="G70" s="58" t="n">
        <v>13</v>
      </c>
      <c r="H70" s="58" t="n">
        <v>0</v>
      </c>
      <c r="I70" s="58" t="n">
        <v>0</v>
      </c>
      <c r="J70" s="46">
        <f>G70+H70-I70</f>
        <v/>
      </c>
      <c r="K70" s="21">
        <f>IF(J70=0,"🔴缺货",IF(J70&lt;=2,"🟡低库存","🟢正常"))</f>
        <v/>
      </c>
      <c r="L70" s="4" t="inlineStr"/>
    </row>
    <row r="71" ht="17" customHeight="1">
      <c r="A71" s="8" t="n">
        <v>67</v>
      </c>
      <c r="B71" s="8" t="inlineStr">
        <is>
          <t>NN2551-棕S</t>
        </is>
      </c>
      <c r="C71" s="9" t="inlineStr">
        <is>
          <t>扭捏niunie原创设计{爱读书的小猫}浅棕色圆领套头百搭针织毛衣女</t>
        </is>
      </c>
      <c r="D71" s="9" t="inlineStr">
        <is>
          <t>浅棕色小猫毛衣</t>
        </is>
      </c>
      <c r="E71" s="8" t="inlineStr">
        <is>
          <t>S</t>
        </is>
      </c>
      <c r="F71" s="10" t="n">
        <v>369</v>
      </c>
      <c r="G71" s="58" t="n">
        <v>6</v>
      </c>
      <c r="H71" s="58" t="n">
        <v>0</v>
      </c>
      <c r="I71" s="58" t="n">
        <v>0</v>
      </c>
      <c r="J71" s="46">
        <f>G71+H71-I71</f>
        <v/>
      </c>
      <c r="K71" s="21">
        <f>IF(J71=0,"🔴缺货",IF(J71&lt;=2,"🟡低库存","🟢正常"))</f>
        <v/>
      </c>
      <c r="L71" s="8" t="inlineStr"/>
    </row>
    <row r="72" ht="17" customHeight="1">
      <c r="A72" s="4" t="n">
        <v>68</v>
      </c>
      <c r="B72" s="4" t="inlineStr">
        <is>
          <t>TN-1067-绿M</t>
        </is>
      </c>
      <c r="C72" s="5" t="inlineStr">
        <is>
          <t>扭捏niunie原创设计复古叠穿苔藓绿羊羔毛马甲背心休闲百搭上衣女</t>
        </is>
      </c>
      <c r="D72" s="5" t="inlineStr">
        <is>
          <t>苔藓绿羊羔毛马甲</t>
        </is>
      </c>
      <c r="E72" s="4" t="inlineStr">
        <is>
          <t>M</t>
        </is>
      </c>
      <c r="F72" s="6" t="n">
        <v>469</v>
      </c>
      <c r="G72" s="58" t="n">
        <v>8</v>
      </c>
      <c r="H72" s="58" t="n">
        <v>0</v>
      </c>
      <c r="I72" s="58" t="n">
        <v>0</v>
      </c>
      <c r="J72" s="46">
        <f>G72+H72-I72</f>
        <v/>
      </c>
      <c r="K72" s="21">
        <f>IF(J72=0,"🔴缺货",IF(J72&lt;=2,"🟡低库存","🟢正常"))</f>
        <v/>
      </c>
      <c r="L72" s="4" t="inlineStr"/>
    </row>
    <row r="73" ht="17" customHeight="1">
      <c r="A73" s="8" t="n">
        <v>69</v>
      </c>
      <c r="B73" s="8" t="inlineStr">
        <is>
          <t>TN-1067-绿S</t>
        </is>
      </c>
      <c r="C73" s="9" t="inlineStr">
        <is>
          <t>扭捏niunie原创设计复古叠穿苔藓绿羊羔毛马甲背心休闲百搭上衣女</t>
        </is>
      </c>
      <c r="D73" s="9" t="inlineStr">
        <is>
          <t>苔藓绿羊羔毛马甲</t>
        </is>
      </c>
      <c r="E73" s="8" t="inlineStr">
        <is>
          <t>S</t>
        </is>
      </c>
      <c r="F73" s="10" t="n">
        <v>469</v>
      </c>
      <c r="G73" s="58" t="n">
        <v>9</v>
      </c>
      <c r="H73" s="58" t="n">
        <v>0</v>
      </c>
      <c r="I73" s="58" t="n">
        <v>0</v>
      </c>
      <c r="J73" s="46">
        <f>G73+H73-I73</f>
        <v/>
      </c>
      <c r="K73" s="21">
        <f>IF(J73=0,"🔴缺货",IF(J73&lt;=2,"🟡低库存","🟢正常"))</f>
        <v/>
      </c>
      <c r="L73" s="8" t="inlineStr"/>
    </row>
    <row r="74" ht="17" customHeight="1">
      <c r="A74" s="4" t="n">
        <v>70</v>
      </c>
      <c r="B74" s="4" t="inlineStr">
        <is>
          <t>NN2551-蓝M</t>
        </is>
      </c>
      <c r="C74" s="5" t="inlineStr">
        <is>
          <t>扭捏niunie原创设计{爱读书的小猫}蓝色圆领套头百搭针织毛衣女</t>
        </is>
      </c>
      <c r="D74" s="5" t="inlineStr">
        <is>
          <t>蓝色小猫毛衣</t>
        </is>
      </c>
      <c r="E74" s="4" t="inlineStr">
        <is>
          <t>M</t>
        </is>
      </c>
      <c r="F74" s="6" t="n">
        <v>369</v>
      </c>
      <c r="G74" s="58" t="n">
        <v>10</v>
      </c>
      <c r="H74" s="58" t="n">
        <v>0</v>
      </c>
      <c r="I74" s="58" t="n">
        <v>0</v>
      </c>
      <c r="J74" s="46">
        <f>G74+H74-I74</f>
        <v/>
      </c>
      <c r="K74" s="21">
        <f>IF(J74=0,"🔴缺货",IF(J74&lt;=2,"🟡低库存","🟢正常"))</f>
        <v/>
      </c>
      <c r="L74" s="4" t="inlineStr"/>
    </row>
    <row r="75" ht="17" customHeight="1">
      <c r="A75" s="8" t="n">
        <v>71</v>
      </c>
      <c r="B75" s="8" t="inlineStr">
        <is>
          <t>NN2551-蓝S</t>
        </is>
      </c>
      <c r="C75" s="9" t="inlineStr">
        <is>
          <t>扭捏niunie原创设计{爱读书的小猫}蓝色圆领套头百搭针织毛衣女</t>
        </is>
      </c>
      <c r="D75" s="9" t="inlineStr">
        <is>
          <t>蓝色小猫毛衣</t>
        </is>
      </c>
      <c r="E75" s="8" t="inlineStr">
        <is>
          <t>S</t>
        </is>
      </c>
      <c r="F75" s="10" t="n">
        <v>369</v>
      </c>
      <c r="G75" s="58" t="n">
        <v>11</v>
      </c>
      <c r="H75" s="58" t="n">
        <v>0</v>
      </c>
      <c r="I75" s="58" t="n">
        <v>0</v>
      </c>
      <c r="J75" s="46">
        <f>G75+H75-I75</f>
        <v/>
      </c>
      <c r="K75" s="21">
        <f>IF(J75=0,"🔴缺货",IF(J75&lt;=2,"🟡低库存","🟢正常"))</f>
        <v/>
      </c>
      <c r="L75" s="8" t="inlineStr"/>
    </row>
    <row r="76" ht="17" customHeight="1">
      <c r="A76" s="4" t="n">
        <v>72</v>
      </c>
      <c r="B76" s="4" t="inlineStr">
        <is>
          <t>TN-1067-紫M</t>
        </is>
      </c>
      <c r="C76" s="5" t="inlineStr">
        <is>
          <t>扭捏niunie原创设计复古叠搭彩色格子紫色羊羔毛马甲休闲百搭上衣</t>
        </is>
      </c>
      <c r="D76" s="5" t="inlineStr">
        <is>
          <t>紫色羊羔毛马甲</t>
        </is>
      </c>
      <c r="E76" s="4" t="inlineStr">
        <is>
          <t>M</t>
        </is>
      </c>
      <c r="F76" s="6" t="n">
        <v>469</v>
      </c>
      <c r="G76" s="58" t="n">
        <v>21</v>
      </c>
      <c r="H76" s="58" t="n">
        <v>0</v>
      </c>
      <c r="I76" s="58" t="n">
        <v>0</v>
      </c>
      <c r="J76" s="46">
        <f>G76+H76-I76</f>
        <v/>
      </c>
      <c r="K76" s="21">
        <f>IF(J76=0,"🔴缺货",IF(J76&lt;=2,"🟡低库存","🟢正常"))</f>
        <v/>
      </c>
      <c r="L76" s="4" t="inlineStr"/>
    </row>
    <row r="77" ht="17" customHeight="1">
      <c r="A77" s="8" t="n">
        <v>73</v>
      </c>
      <c r="B77" s="8" t="inlineStr">
        <is>
          <t>TN-1067-紫S</t>
        </is>
      </c>
      <c r="C77" s="9" t="inlineStr">
        <is>
          <t>扭捏niunie原创设计复古叠搭彩色格子紫色羊羔毛马甲休闲百搭上衣</t>
        </is>
      </c>
      <c r="D77" s="9" t="inlineStr">
        <is>
          <t>紫色羊羔毛马甲</t>
        </is>
      </c>
      <c r="E77" s="8" t="inlineStr">
        <is>
          <t>S</t>
        </is>
      </c>
      <c r="F77" s="10" t="n">
        <v>469</v>
      </c>
      <c r="G77" s="58" t="n">
        <v>26</v>
      </c>
      <c r="H77" s="58" t="n">
        <v>0</v>
      </c>
      <c r="I77" s="58" t="n">
        <v>0</v>
      </c>
      <c r="J77" s="46">
        <f>G77+H77-I77</f>
        <v/>
      </c>
      <c r="K77" s="21">
        <f>IF(J77=0,"🔴缺货",IF(J77&lt;=2,"🟡低库存","🟢正常"))</f>
        <v/>
      </c>
      <c r="L77" s="8" t="inlineStr"/>
    </row>
    <row r="78" ht="17" customHeight="1">
      <c r="A78" s="4" t="n">
        <v>74</v>
      </c>
      <c r="B78" s="4" t="inlineStr">
        <is>
          <t>NN2534-L</t>
        </is>
      </c>
      <c r="C78" s="5" t="inlineStr">
        <is>
          <t>扭捏niunie 文艺复古棕色系格子大口袋半身裙中腰显瘦全棉中长裙</t>
        </is>
      </c>
      <c r="D78" s="5" t="inlineStr">
        <is>
          <t>棕色系拼色格子半裙</t>
        </is>
      </c>
      <c r="E78" s="4" t="inlineStr">
        <is>
          <t>L</t>
        </is>
      </c>
      <c r="F78" s="6" t="n">
        <v>369</v>
      </c>
      <c r="G78" s="58" t="n">
        <v>3</v>
      </c>
      <c r="H78" s="58" t="n">
        <v>0</v>
      </c>
      <c r="I78" s="58" t="n">
        <v>0</v>
      </c>
      <c r="J78" s="46">
        <f>G78+H78-I78</f>
        <v/>
      </c>
      <c r="K78" s="21">
        <f>IF(J78=0,"🔴缺货",IF(J78&lt;=2,"🟡低库存","🟢正常"))</f>
        <v/>
      </c>
      <c r="L78" s="4" t="inlineStr"/>
    </row>
    <row r="79" ht="17" customHeight="1">
      <c r="A79" s="8" t="n">
        <v>75</v>
      </c>
      <c r="B79" s="8" t="inlineStr">
        <is>
          <t>NN2533-L</t>
        </is>
      </c>
      <c r="C79" s="9" t="inlineStr">
        <is>
          <t>【秋天的童话】原创巴恩风剪花小格子重工半身裙复古中长裙女秋款</t>
        </is>
      </c>
      <c r="D79" s="9" t="inlineStr">
        <is>
          <t>彩色剪花小格子半身裙</t>
        </is>
      </c>
      <c r="E79" s="8" t="inlineStr">
        <is>
          <t>L</t>
        </is>
      </c>
      <c r="F79" s="10" t="n">
        <v>429</v>
      </c>
      <c r="G79" s="58" t="n">
        <v>15</v>
      </c>
      <c r="H79" s="58" t="n">
        <v>0</v>
      </c>
      <c r="I79" s="58" t="n">
        <v>0</v>
      </c>
      <c r="J79" s="46">
        <f>G79+H79-I79</f>
        <v/>
      </c>
      <c r="K79" s="21">
        <f>IF(J79=0,"🔴缺货",IF(J79&lt;=2,"🟡低库存","🟢正常"))</f>
        <v/>
      </c>
      <c r="L79" s="8" t="inlineStr"/>
    </row>
    <row r="80" ht="17" customHeight="1">
      <c r="A80" s="4" t="n">
        <v>76</v>
      </c>
      <c r="B80" s="4" t="inlineStr"/>
      <c r="C80" s="5" t="inlineStr">
        <is>
          <t>扭捏niunie 小浣熊松鼠趣味提花蓝色长袖衬衫宽松全棉纽扣上衣女</t>
        </is>
      </c>
      <c r="D80" s="5" t="inlineStr">
        <is>
          <t>定制面料 需要等待</t>
        </is>
      </c>
      <c r="E80" s="4" t="inlineStr">
        <is>
          <t>M</t>
        </is>
      </c>
      <c r="F80" s="6" t="n">
        <v>339</v>
      </c>
      <c r="G80" s="58" t="n">
        <v>4</v>
      </c>
      <c r="H80" s="58" t="n">
        <v>0</v>
      </c>
      <c r="I80" s="58" t="n">
        <v>0</v>
      </c>
      <c r="J80" s="46">
        <f>G80+H80-I80</f>
        <v/>
      </c>
      <c r="K80" s="21">
        <f>IF(J80=0,"🔴缺货",IF(J80&lt;=2,"🟡低库存","🟢正常"))</f>
        <v/>
      </c>
      <c r="L80" s="4" t="inlineStr"/>
    </row>
    <row r="81" ht="17" customHeight="1">
      <c r="A81" s="8" t="n">
        <v>77</v>
      </c>
      <c r="B81" s="8" t="inlineStr"/>
      <c r="C81" s="9" t="inlineStr">
        <is>
          <t>扭捏niunie 小浣熊松鼠趣味提花蓝色长袖衬衫宽松全棉纽扣上衣女</t>
        </is>
      </c>
      <c r="D81" s="9" t="inlineStr">
        <is>
          <t>定制面料 需要等待</t>
        </is>
      </c>
      <c r="E81" s="8" t="inlineStr">
        <is>
          <t>S</t>
        </is>
      </c>
      <c r="F81" s="10" t="n">
        <v>339</v>
      </c>
      <c r="G81" s="58" t="n">
        <v>8</v>
      </c>
      <c r="H81" s="58" t="n">
        <v>0</v>
      </c>
      <c r="I81" s="58" t="n">
        <v>0</v>
      </c>
      <c r="J81" s="46">
        <f>G81+H81-I81</f>
        <v/>
      </c>
      <c r="K81" s="21">
        <f>IF(J81=0,"🔴缺货",IF(J81&lt;=2,"🟡低库存","🟢正常"))</f>
        <v/>
      </c>
      <c r="L81" s="8" t="inlineStr"/>
    </row>
    <row r="82" ht="17" customHeight="1">
      <c r="A82" s="4" t="n">
        <v>78</v>
      </c>
      <c r="B82" s="4" t="inlineStr"/>
      <c r="C82" s="5" t="inlineStr">
        <is>
          <t>扭捏niunie 多巴胺提花蓝色慵懒风休闲长裤宽松显瘦百搭直筒裤女</t>
        </is>
      </c>
      <c r="D82" s="5" t="inlineStr">
        <is>
          <t>定制面料 需要等待</t>
        </is>
      </c>
      <c r="E82" s="4" t="inlineStr">
        <is>
          <t>M</t>
        </is>
      </c>
      <c r="F82" s="6" t="n">
        <v>319</v>
      </c>
      <c r="G82" s="58" t="n">
        <v>1</v>
      </c>
      <c r="H82" s="58" t="n">
        <v>0</v>
      </c>
      <c r="I82" s="58" t="n">
        <v>0</v>
      </c>
      <c r="J82" s="46">
        <f>G82+H82-I82</f>
        <v/>
      </c>
      <c r="K82" s="21">
        <f>IF(J82=0,"🔴缺货",IF(J82&lt;=2,"🟡低库存","🟢正常"))</f>
        <v/>
      </c>
      <c r="L82" s="4" t="inlineStr"/>
    </row>
    <row r="83" ht="17" customHeight="1">
      <c r="A83" s="8" t="n">
        <v>79</v>
      </c>
      <c r="B83" s="8" t="inlineStr"/>
      <c r="C83" s="9" t="inlineStr">
        <is>
          <t>扭捏niunie 多巴胺提花蓝色慵懒风休闲长裤宽松显瘦百搭直筒裤女</t>
        </is>
      </c>
      <c r="D83" s="9" t="inlineStr">
        <is>
          <t>定制面料 需要等待</t>
        </is>
      </c>
      <c r="E83" s="8" t="inlineStr">
        <is>
          <t>S</t>
        </is>
      </c>
      <c r="F83" s="10" t="n">
        <v>319</v>
      </c>
      <c r="G83" s="58" t="n">
        <v>0</v>
      </c>
      <c r="H83" s="58" t="n">
        <v>0</v>
      </c>
      <c r="I83" s="58" t="n">
        <v>0</v>
      </c>
      <c r="J83" s="46">
        <f>G83+H83-I83</f>
        <v/>
      </c>
      <c r="K83" s="21">
        <f>IF(J83=0,"🔴缺货",IF(J83&lt;=2,"🟡低库存","🟢正常"))</f>
        <v/>
      </c>
      <c r="L83" s="8" t="inlineStr"/>
    </row>
    <row r="84" ht="17" customHeight="1">
      <c r="A84" s="4" t="n">
        <v>80</v>
      </c>
      <c r="B84" s="4" t="inlineStr">
        <is>
          <t>TNW-0702-褐L</t>
        </is>
      </c>
      <c r="C84" s="5" t="inlineStr">
        <is>
          <t>扭捏niunie 乐谱印花复古长袖T恤进口美利奴羊毛天丝修身内搭上衣</t>
        </is>
      </c>
      <c r="D84" s="5" t="inlineStr">
        <is>
          <t>茶褐色天丝羊毛长袖t</t>
        </is>
      </c>
      <c r="E84" s="4" t="inlineStr">
        <is>
          <t>L</t>
        </is>
      </c>
      <c r="F84" s="6" t="n">
        <v>299</v>
      </c>
      <c r="G84" s="58" t="n">
        <v>2</v>
      </c>
      <c r="H84" s="58" t="n">
        <v>0</v>
      </c>
      <c r="I84" s="58" t="n">
        <v>0</v>
      </c>
      <c r="J84" s="46">
        <f>G84+H84-I84</f>
        <v/>
      </c>
      <c r="K84" s="21">
        <f>IF(J84=0,"🔴缺货",IF(J84&lt;=2,"🟡低库存","🟢正常"))</f>
        <v/>
      </c>
      <c r="L84" s="4" t="inlineStr"/>
    </row>
    <row r="85" ht="17" customHeight="1">
      <c r="A85" s="8" t="n">
        <v>81</v>
      </c>
      <c r="B85" s="8" t="inlineStr">
        <is>
          <t>TNW-0702-绿L</t>
        </is>
      </c>
      <c r="C85" s="9" t="inlineStr">
        <is>
          <t>扭捏niunie 乐谱印花复古长袖T恤进口美利奴羊毛天丝修身内搭上衣</t>
        </is>
      </c>
      <c r="D85" s="9" t="inlineStr">
        <is>
          <t>草绿色天丝羊毛长袖t</t>
        </is>
      </c>
      <c r="E85" s="8" t="inlineStr">
        <is>
          <t>L</t>
        </is>
      </c>
      <c r="F85" s="10" t="n">
        <v>299</v>
      </c>
      <c r="G85" s="58" t="n">
        <v>5</v>
      </c>
      <c r="H85" s="58" t="n">
        <v>0</v>
      </c>
      <c r="I85" s="58" t="n">
        <v>0</v>
      </c>
      <c r="J85" s="46">
        <f>G85+H85-I85</f>
        <v/>
      </c>
      <c r="K85" s="21">
        <f>IF(J85=0,"🔴缺货",IF(J85&lt;=2,"🟡低库存","🟢正常"))</f>
        <v/>
      </c>
      <c r="L85" s="8" t="inlineStr"/>
    </row>
    <row r="86" ht="17" customHeight="1">
      <c r="A86" s="4" t="n">
        <v>82</v>
      </c>
      <c r="B86" s="4" t="inlineStr">
        <is>
          <t>TNW-0702-褐M</t>
        </is>
      </c>
      <c r="C86" s="5" t="inlineStr">
        <is>
          <t>扭捏niunie 乐谱印花复古长袖T恤进口美利奴羊毛天丝修身内搭上衣</t>
        </is>
      </c>
      <c r="D86" s="5" t="inlineStr">
        <is>
          <t>茶褐色天丝羊毛长袖t</t>
        </is>
      </c>
      <c r="E86" s="4" t="inlineStr">
        <is>
          <t>M</t>
        </is>
      </c>
      <c r="F86" s="6" t="n">
        <v>299</v>
      </c>
      <c r="G86" s="58" t="n">
        <v>3</v>
      </c>
      <c r="H86" s="58" t="n">
        <v>0</v>
      </c>
      <c r="I86" s="58" t="n">
        <v>0</v>
      </c>
      <c r="J86" s="46">
        <f>G86+H86-I86</f>
        <v/>
      </c>
      <c r="K86" s="21">
        <f>IF(J86=0,"🔴缺货",IF(J86&lt;=2,"🟡低库存","🟢正常"))</f>
        <v/>
      </c>
      <c r="L86" s="4" t="inlineStr"/>
    </row>
    <row r="87" ht="17" customHeight="1">
      <c r="A87" s="8" t="n">
        <v>83</v>
      </c>
      <c r="B87" s="8" t="inlineStr">
        <is>
          <t>TNW-0702-绿M</t>
        </is>
      </c>
      <c r="C87" s="9" t="inlineStr">
        <is>
          <t>扭捏niunie 乐谱印花复古长袖T恤进口美利奴羊毛天丝修身内搭上衣</t>
        </is>
      </c>
      <c r="D87" s="9" t="inlineStr">
        <is>
          <t>草绿色天丝羊毛长袖t</t>
        </is>
      </c>
      <c r="E87" s="8" t="inlineStr">
        <is>
          <t>M</t>
        </is>
      </c>
      <c r="F87" s="10" t="n">
        <v>299</v>
      </c>
      <c r="G87" s="58" t="n">
        <v>7</v>
      </c>
      <c r="H87" s="58" t="n">
        <v>0</v>
      </c>
      <c r="I87" s="58" t="n">
        <v>0</v>
      </c>
      <c r="J87" s="46">
        <f>G87+H87-I87</f>
        <v/>
      </c>
      <c r="K87" s="21">
        <f>IF(J87=0,"🔴缺货",IF(J87&lt;=2,"🟡低库存","🟢正常"))</f>
        <v/>
      </c>
      <c r="L87" s="8" t="inlineStr"/>
    </row>
    <row r="88" ht="17" customHeight="1">
      <c r="A88" s="4" t="n">
        <v>84</v>
      </c>
      <c r="B88" s="4" t="inlineStr">
        <is>
          <t>TNW-0702-褐S</t>
        </is>
      </c>
      <c r="C88" s="5" t="inlineStr">
        <is>
          <t>扭捏niunie 乐谱印花复古长袖T恤进口美利奴羊毛天丝修身内搭上衣</t>
        </is>
      </c>
      <c r="D88" s="5" t="inlineStr">
        <is>
          <t>茶褐色天丝羊毛长袖t</t>
        </is>
      </c>
      <c r="E88" s="4" t="inlineStr">
        <is>
          <t>S</t>
        </is>
      </c>
      <c r="F88" s="6" t="n">
        <v>299</v>
      </c>
      <c r="G88" s="58" t="n">
        <v>3</v>
      </c>
      <c r="H88" s="58" t="n">
        <v>0</v>
      </c>
      <c r="I88" s="58" t="n">
        <v>0</v>
      </c>
      <c r="J88" s="46">
        <f>G88+H88-I88</f>
        <v/>
      </c>
      <c r="K88" s="21">
        <f>IF(J88=0,"🔴缺货",IF(J88&lt;=2,"🟡低库存","🟢正常"))</f>
        <v/>
      </c>
      <c r="L88" s="4" t="inlineStr"/>
    </row>
    <row r="89" ht="17" customHeight="1">
      <c r="A89" s="8" t="n">
        <v>85</v>
      </c>
      <c r="B89" s="8" t="inlineStr">
        <is>
          <t>TNW-0702-绿S</t>
        </is>
      </c>
      <c r="C89" s="9" t="inlineStr">
        <is>
          <t>扭捏niunie 乐谱印花复古长袖T恤进口美利奴羊毛天丝修身内搭上衣</t>
        </is>
      </c>
      <c r="D89" s="9" t="inlineStr">
        <is>
          <t>草绿色天丝羊毛长袖t</t>
        </is>
      </c>
      <c r="E89" s="8" t="inlineStr">
        <is>
          <t>S</t>
        </is>
      </c>
      <c r="F89" s="10" t="n">
        <v>299</v>
      </c>
      <c r="G89" s="58" t="n">
        <v>10</v>
      </c>
      <c r="H89" s="58" t="n">
        <v>0</v>
      </c>
      <c r="I89" s="58" t="n">
        <v>0</v>
      </c>
      <c r="J89" s="46">
        <f>G89+H89-I89</f>
        <v/>
      </c>
      <c r="K89" s="21">
        <f>IF(J89=0,"🔴缺货",IF(J89&lt;=2,"🟡低库存","🟢正常"))</f>
        <v/>
      </c>
      <c r="L89" s="8" t="inlineStr"/>
    </row>
    <row r="90" ht="17" customHeight="1">
      <c r="A90" s="4" t="n">
        <v>86</v>
      </c>
      <c r="B90" s="4" t="inlineStr">
        <is>
          <t>TNW-0915-M</t>
        </is>
      </c>
      <c r="C90" s="5" t="inlineStr">
        <is>
          <t>扭捏niunie法式复古撞色拼接衬衫澳洲进口美利奴羊毛缩绒工艺上衣</t>
        </is>
      </c>
      <c r="D90" s="5" t="inlineStr">
        <is>
          <t>浅绿色花苞裙</t>
        </is>
      </c>
      <c r="E90" s="4" t="inlineStr">
        <is>
          <t>M</t>
        </is>
      </c>
      <c r="F90" s="6" t="n">
        <v>499</v>
      </c>
      <c r="G90" s="58" t="n">
        <v>3</v>
      </c>
      <c r="H90" s="58" t="n">
        <v>0</v>
      </c>
      <c r="I90" s="58" t="n">
        <v>0</v>
      </c>
      <c r="J90" s="46">
        <f>G90+H90-I90</f>
        <v/>
      </c>
      <c r="K90" s="21">
        <f>IF(J90=0,"🔴缺货",IF(J90&lt;=2,"🟡低库存","🟢正常"))</f>
        <v/>
      </c>
      <c r="L90" s="4" t="inlineStr"/>
    </row>
    <row r="91" ht="17" customHeight="1">
      <c r="A91" s="8" t="n">
        <v>87</v>
      </c>
      <c r="B91" s="8" t="inlineStr">
        <is>
          <t>TNW-0915-S</t>
        </is>
      </c>
      <c r="C91" s="9" t="inlineStr">
        <is>
          <t>扭捏niunie法式复古撞色拼接衬衫澳洲进口美利奴羊毛缩绒工艺上衣</t>
        </is>
      </c>
      <c r="D91" s="9" t="inlineStr">
        <is>
          <t>浅绿色花苞裙</t>
        </is>
      </c>
      <c r="E91" s="8" t="inlineStr">
        <is>
          <t>S</t>
        </is>
      </c>
      <c r="F91" s="10" t="n">
        <v>499</v>
      </c>
      <c r="G91" s="58" t="n">
        <v>3</v>
      </c>
      <c r="H91" s="58" t="n">
        <v>0</v>
      </c>
      <c r="I91" s="58" t="n">
        <v>0</v>
      </c>
      <c r="J91" s="46">
        <f>G91+H91-I91</f>
        <v/>
      </c>
      <c r="K91" s="21">
        <f>IF(J91=0,"🔴缺货",IF(J91&lt;=2,"🟡低库存","🟢正常"))</f>
        <v/>
      </c>
      <c r="L91" s="8" t="inlineStr"/>
    </row>
    <row r="92" ht="17" customHeight="1">
      <c r="A92" s="4" t="n">
        <v>88</v>
      </c>
      <c r="B92" s="4" t="inlineStr">
        <is>
          <t>TNW-1010-M</t>
        </is>
      </c>
      <c r="C92" s="5" t="inlineStr">
        <is>
          <t>扭捏niunie 复古vintage格子碎花拼接半身裙修身显瘦田园风中长裙</t>
        </is>
      </c>
      <c r="D92" s="5" t="inlineStr">
        <is>
          <t>格子碎花拼接半裙</t>
        </is>
      </c>
      <c r="E92" s="4" t="inlineStr">
        <is>
          <t>M</t>
        </is>
      </c>
      <c r="F92" s="6" t="n">
        <v>439</v>
      </c>
      <c r="G92" s="58" t="n">
        <v>4</v>
      </c>
      <c r="H92" s="58" t="n">
        <v>0</v>
      </c>
      <c r="I92" s="58" t="n">
        <v>0</v>
      </c>
      <c r="J92" s="46">
        <f>G92+H92-I92</f>
        <v/>
      </c>
      <c r="K92" s="21">
        <f>IF(J92=0,"🔴缺货",IF(J92&lt;=2,"🟡低库存","🟢正常"))</f>
        <v/>
      </c>
      <c r="L92" s="4" t="inlineStr"/>
    </row>
    <row r="93" ht="17" customHeight="1">
      <c r="A93" s="8" t="n">
        <v>89</v>
      </c>
      <c r="B93" s="8" t="inlineStr">
        <is>
          <t>TNW-1010-S</t>
        </is>
      </c>
      <c r="C93" s="9" t="inlineStr">
        <is>
          <t>扭捏niunie 复古vintage格子碎花拼接半身裙修身显瘦田园风中长裙</t>
        </is>
      </c>
      <c r="D93" s="9" t="inlineStr">
        <is>
          <t>格子碎花拼接半裙</t>
        </is>
      </c>
      <c r="E93" s="8" t="inlineStr">
        <is>
          <t>S</t>
        </is>
      </c>
      <c r="F93" s="10" t="n">
        <v>439</v>
      </c>
      <c r="G93" s="58" t="n">
        <v>6</v>
      </c>
      <c r="H93" s="58" t="n">
        <v>0</v>
      </c>
      <c r="I93" s="58" t="n">
        <v>0</v>
      </c>
      <c r="J93" s="46">
        <f>G93+H93-I93</f>
        <v/>
      </c>
      <c r="K93" s="21">
        <f>IF(J93=0,"🔴缺货",IF(J93&lt;=2,"🟡低库存","🟢正常"))</f>
        <v/>
      </c>
      <c r="L93" s="8" t="inlineStr"/>
    </row>
    <row r="94" ht="17" customHeight="1">
      <c r="A94" s="4" t="n">
        <v>90</v>
      </c>
      <c r="B94" s="4" t="inlineStr">
        <is>
          <t>TNW-0918-M</t>
        </is>
      </c>
      <c r="C94" s="5" t="inlineStr">
        <is>
          <t>【我只想睡觉】原创印花圆领毛巾卫衣复古宽松上衣 扭捏niunie</t>
        </is>
      </c>
      <c r="D94" s="5" t="inlineStr">
        <is>
          <t>撞色圆领卫衣</t>
        </is>
      </c>
      <c r="E94" s="4" t="inlineStr">
        <is>
          <t>M</t>
        </is>
      </c>
      <c r="F94" s="6" t="n">
        <v>299</v>
      </c>
      <c r="G94" s="58" t="n">
        <v>7</v>
      </c>
      <c r="H94" s="58" t="n">
        <v>0</v>
      </c>
      <c r="I94" s="58" t="n">
        <v>0</v>
      </c>
      <c r="J94" s="46">
        <f>G94+H94-I94</f>
        <v/>
      </c>
      <c r="K94" s="21">
        <f>IF(J94=0,"🔴缺货",IF(J94&lt;=2,"🟡低库存","🟢正常"))</f>
        <v/>
      </c>
      <c r="L94" s="4" t="inlineStr"/>
    </row>
    <row r="95" ht="17" customHeight="1">
      <c r="A95" s="8" t="n">
        <v>91</v>
      </c>
      <c r="B95" s="8" t="inlineStr">
        <is>
          <t>TNW-0918-S</t>
        </is>
      </c>
      <c r="C95" s="9" t="inlineStr">
        <is>
          <t>【我只想睡觉】原创印花圆领毛巾卫衣复古宽松上衣 扭捏niunie</t>
        </is>
      </c>
      <c r="D95" s="9" t="inlineStr">
        <is>
          <t>撞色圆领卫衣</t>
        </is>
      </c>
      <c r="E95" s="8" t="inlineStr">
        <is>
          <t>S</t>
        </is>
      </c>
      <c r="F95" s="10" t="n">
        <v>299</v>
      </c>
      <c r="G95" s="58" t="n">
        <v>11</v>
      </c>
      <c r="H95" s="58" t="n">
        <v>0</v>
      </c>
      <c r="I95" s="58" t="n">
        <v>0</v>
      </c>
      <c r="J95" s="46">
        <f>G95+H95-I95</f>
        <v/>
      </c>
      <c r="K95" s="21">
        <f>IF(J95=0,"🔴缺货",IF(J95&lt;=2,"🟡低库存","🟢正常"))</f>
        <v/>
      </c>
      <c r="L95" s="8" t="inlineStr"/>
    </row>
    <row r="96" ht="17" customHeight="1">
      <c r="A96" s="4" t="n">
        <v>92</v>
      </c>
      <c r="B96" s="4" t="inlineStr">
        <is>
          <t>NN2536-M</t>
        </is>
      </c>
      <c r="C96" s="5" t="inlineStr">
        <is>
          <t>扭捏niunie 多巴胺提花蓝色慵懒风休闲长裤宽松显瘦百搭直筒裤女</t>
        </is>
      </c>
      <c r="D96" s="5" t="inlineStr">
        <is>
          <t>蓝色提花宽松长裤</t>
        </is>
      </c>
      <c r="E96" s="4" t="inlineStr">
        <is>
          <t>M</t>
        </is>
      </c>
      <c r="F96" s="6" t="n">
        <v>319</v>
      </c>
      <c r="G96" s="58" t="n">
        <v>2</v>
      </c>
      <c r="H96" s="58" t="n">
        <v>0</v>
      </c>
      <c r="I96" s="58" t="n">
        <v>0</v>
      </c>
      <c r="J96" s="46">
        <f>G96+H96-I96</f>
        <v/>
      </c>
      <c r="K96" s="21">
        <f>IF(J96=0,"🔴缺货",IF(J96&lt;=2,"🟡低库存","🟢正常"))</f>
        <v/>
      </c>
      <c r="L96" s="4" t="inlineStr"/>
    </row>
    <row r="97" ht="17" customHeight="1">
      <c r="A97" s="8" t="n">
        <v>93</v>
      </c>
      <c r="B97" s="8" t="inlineStr">
        <is>
          <t>NN2536-S</t>
        </is>
      </c>
      <c r="C97" s="9" t="inlineStr">
        <is>
          <t>扭捏niunie 多巴胺提花蓝色慵懒风休闲长裤宽松显瘦百搭直筒裤女</t>
        </is>
      </c>
      <c r="D97" s="9" t="inlineStr">
        <is>
          <t>蓝色提花宽松长裤</t>
        </is>
      </c>
      <c r="E97" s="8" t="inlineStr">
        <is>
          <t>S</t>
        </is>
      </c>
      <c r="F97" s="10" t="n">
        <v>319</v>
      </c>
      <c r="G97" s="58" t="n">
        <v>0</v>
      </c>
      <c r="H97" s="58" t="n">
        <v>0</v>
      </c>
      <c r="I97" s="58" t="n">
        <v>0</v>
      </c>
      <c r="J97" s="46">
        <f>G97+H97-I97</f>
        <v/>
      </c>
      <c r="K97" s="21">
        <f>IF(J97=0,"🔴缺货",IF(J97&lt;=2,"🟡低库存","🟢正常"))</f>
        <v/>
      </c>
      <c r="L97" s="8" t="inlineStr"/>
    </row>
    <row r="98" ht="17" customHeight="1">
      <c r="A98" s="4" t="n">
        <v>94</v>
      </c>
      <c r="B98" s="4" t="inlineStr">
        <is>
          <t>NN2535-M</t>
        </is>
      </c>
      <c r="C98" s="5" t="inlineStr">
        <is>
          <t>扭捏niunie复古双层荷叶边绿色皱褶设计长袖衬衫收腰显瘦系带上衣</t>
        </is>
      </c>
      <c r="D98" s="5" t="inlineStr">
        <is>
          <t>双层荷叶边绿色衬衫</t>
        </is>
      </c>
      <c r="E98" s="4" t="inlineStr">
        <is>
          <t>M</t>
        </is>
      </c>
      <c r="F98" s="6" t="n">
        <v>339</v>
      </c>
      <c r="G98" s="58" t="n">
        <v>10</v>
      </c>
      <c r="H98" s="58" t="n">
        <v>0</v>
      </c>
      <c r="I98" s="58" t="n">
        <v>0</v>
      </c>
      <c r="J98" s="46">
        <f>G98+H98-I98</f>
        <v/>
      </c>
      <c r="K98" s="21">
        <f>IF(J98=0,"🔴缺货",IF(J98&lt;=2,"🟡低库存","🟢正常"))</f>
        <v/>
      </c>
      <c r="L98" s="4" t="inlineStr"/>
    </row>
    <row r="99" ht="17" customHeight="1">
      <c r="A99" s="8" t="n">
        <v>95</v>
      </c>
      <c r="B99" s="8" t="inlineStr">
        <is>
          <t>NN2535-S</t>
        </is>
      </c>
      <c r="C99" s="9" t="inlineStr">
        <is>
          <t>扭捏niunie复古双层荷叶边绿色皱褶设计长袖衬衫收腰显瘦系带上衣</t>
        </is>
      </c>
      <c r="D99" s="9" t="inlineStr">
        <is>
          <t>双层荷叶边绿色衬衫</t>
        </is>
      </c>
      <c r="E99" s="8" t="inlineStr">
        <is>
          <t>S</t>
        </is>
      </c>
      <c r="F99" s="10" t="n">
        <v>339</v>
      </c>
      <c r="G99" s="58" t="n">
        <v>2</v>
      </c>
      <c r="H99" s="58" t="n">
        <v>0</v>
      </c>
      <c r="I99" s="58" t="n">
        <v>0</v>
      </c>
      <c r="J99" s="46">
        <f>G99+H99-I99</f>
        <v/>
      </c>
      <c r="K99" s="21">
        <f>IF(J99=0,"🔴缺货",IF(J99&lt;=2,"🟡低库存","🟢正常"))</f>
        <v/>
      </c>
      <c r="L99" s="8" t="inlineStr"/>
    </row>
    <row r="100" ht="17" customHeight="1">
      <c r="A100" s="4" t="n">
        <v>96</v>
      </c>
      <c r="B100" s="4" t="inlineStr">
        <is>
          <t>NN2534-M</t>
        </is>
      </c>
      <c r="C100" s="5" t="inlineStr">
        <is>
          <t>扭捏niunie 文艺复古棕色系格子大口袋半身裙中腰显瘦全棉中长裙</t>
        </is>
      </c>
      <c r="D100" s="5" t="inlineStr">
        <is>
          <t>棕色系拼色格子半裙</t>
        </is>
      </c>
      <c r="E100" s="4" t="inlineStr">
        <is>
          <t>M</t>
        </is>
      </c>
      <c r="F100" s="6" t="n">
        <v>369</v>
      </c>
      <c r="G100" s="58" t="n">
        <v>1</v>
      </c>
      <c r="H100" s="58" t="n">
        <v>0</v>
      </c>
      <c r="I100" s="58" t="n">
        <v>0</v>
      </c>
      <c r="J100" s="46">
        <f>G100+H100-I100</f>
        <v/>
      </c>
      <c r="K100" s="21">
        <f>IF(J100=0,"🔴缺货",IF(J100&lt;=2,"🟡低库存","🟢正常"))</f>
        <v/>
      </c>
      <c r="L100" s="4" t="inlineStr"/>
    </row>
    <row r="101" ht="17" customHeight="1">
      <c r="A101" s="8" t="n">
        <v>97</v>
      </c>
      <c r="B101" s="8" t="inlineStr">
        <is>
          <t>NN2534-S</t>
        </is>
      </c>
      <c r="C101" s="9" t="inlineStr">
        <is>
          <t>扭捏niunie 文艺复古棕色系格子大口袋半身裙中腰显瘦全棉中长裙</t>
        </is>
      </c>
      <c r="D101" s="9" t="inlineStr">
        <is>
          <t>棕色系拼色格子半裙</t>
        </is>
      </c>
      <c r="E101" s="8" t="inlineStr">
        <is>
          <t>S</t>
        </is>
      </c>
      <c r="F101" s="10" t="n">
        <v>369</v>
      </c>
      <c r="G101" s="58" t="n">
        <v>8</v>
      </c>
      <c r="H101" s="58" t="n">
        <v>0</v>
      </c>
      <c r="I101" s="58" t="n">
        <v>0</v>
      </c>
      <c r="J101" s="46">
        <f>G101+H101-I101</f>
        <v/>
      </c>
      <c r="K101" s="21">
        <f>IF(J101=0,"🔴缺货",IF(J101&lt;=2,"🟡低库存","🟢正常"))</f>
        <v/>
      </c>
      <c r="L101" s="8" t="inlineStr"/>
    </row>
    <row r="102" ht="17" customHeight="1">
      <c r="A102" s="4" t="n">
        <v>98</v>
      </c>
      <c r="B102" s="4" t="inlineStr">
        <is>
          <t>NN2533-M</t>
        </is>
      </c>
      <c r="C102" s="5" t="inlineStr">
        <is>
          <t>【秋天的童话】原创巴恩风剪花小格子重工半身裙复古中长裙女秋款</t>
        </is>
      </c>
      <c r="D102" s="5" t="inlineStr">
        <is>
          <t>彩色剪花小格子半身裙</t>
        </is>
      </c>
      <c r="E102" s="4" t="inlineStr">
        <is>
          <t>M</t>
        </is>
      </c>
      <c r="F102" s="6" t="n">
        <v>429</v>
      </c>
      <c r="G102" s="58" t="n">
        <v>25</v>
      </c>
      <c r="H102" s="58" t="n">
        <v>0</v>
      </c>
      <c r="I102" s="58" t="n">
        <v>0</v>
      </c>
      <c r="J102" s="46">
        <f>G102+H102-I102</f>
        <v/>
      </c>
      <c r="K102" s="21">
        <f>IF(J102=0,"🔴缺货",IF(J102&lt;=2,"🟡低库存","🟢正常"))</f>
        <v/>
      </c>
      <c r="L102" s="4" t="inlineStr"/>
    </row>
    <row r="103" ht="17" customHeight="1">
      <c r="A103" s="8" t="n">
        <v>99</v>
      </c>
      <c r="B103" s="8" t="inlineStr">
        <is>
          <t>NN2533-S</t>
        </is>
      </c>
      <c r="C103" s="9" t="inlineStr">
        <is>
          <t>【秋天的童话】原创巴恩风剪花小格子重工半身裙复古中长裙女秋款</t>
        </is>
      </c>
      <c r="D103" s="9" t="inlineStr">
        <is>
          <t>彩色剪花小格子半身裙</t>
        </is>
      </c>
      <c r="E103" s="8" t="inlineStr">
        <is>
          <t>S</t>
        </is>
      </c>
      <c r="F103" s="10" t="n">
        <v>429</v>
      </c>
      <c r="G103" s="58" t="n">
        <v>23</v>
      </c>
      <c r="H103" s="58" t="n">
        <v>0</v>
      </c>
      <c r="I103" s="58" t="n">
        <v>0</v>
      </c>
      <c r="J103" s="46">
        <f>G103+H103-I103</f>
        <v/>
      </c>
      <c r="K103" s="21">
        <f>IF(J103=0,"🔴缺货",IF(J103&lt;=2,"🟡低库存","🟢正常"))</f>
        <v/>
      </c>
      <c r="L103" s="8" t="inlineStr"/>
    </row>
    <row r="104" ht="17" customHeight="1">
      <c r="A104" s="4" t="n">
        <v>100</v>
      </c>
      <c r="B104" s="4" t="inlineStr">
        <is>
          <t>TNW-0802-M</t>
        </is>
      </c>
      <c r="C104" s="5" t="inlineStr">
        <is>
          <t>扭捏niunie法式复古撞色拼接衬衫澳洲进口美利奴羊毛缩绒工艺上衣</t>
        </is>
      </c>
      <c r="D104" s="5" t="inlineStr">
        <is>
          <t>进口羊毛缩绒衬衫</t>
        </is>
      </c>
      <c r="E104" s="4" t="inlineStr">
        <is>
          <t>M</t>
        </is>
      </c>
      <c r="F104" s="6" t="n">
        <v>529</v>
      </c>
      <c r="G104" s="58" t="n">
        <v>3</v>
      </c>
      <c r="H104" s="58" t="n">
        <v>0</v>
      </c>
      <c r="I104" s="58" t="n">
        <v>0</v>
      </c>
      <c r="J104" s="46">
        <f>G104+H104-I104</f>
        <v/>
      </c>
      <c r="K104" s="21">
        <f>IF(J104=0,"🔴缺货",IF(J104&lt;=2,"🟡低库存","🟢正常"))</f>
        <v/>
      </c>
      <c r="L104" s="4" t="inlineStr"/>
    </row>
    <row r="105" ht="17" customHeight="1">
      <c r="A105" s="8" t="n">
        <v>101</v>
      </c>
      <c r="B105" s="8" t="inlineStr">
        <is>
          <t>TNW-0802-S</t>
        </is>
      </c>
      <c r="C105" s="9" t="inlineStr">
        <is>
          <t>扭捏niunie法式复古撞色拼接衬衫澳洲进口美利奴羊毛缩绒工艺上衣</t>
        </is>
      </c>
      <c r="D105" s="9" t="inlineStr">
        <is>
          <t>进口羊毛缩绒衬衫</t>
        </is>
      </c>
      <c r="E105" s="8" t="inlineStr">
        <is>
          <t>S</t>
        </is>
      </c>
      <c r="F105" s="10" t="n">
        <v>529</v>
      </c>
      <c r="G105" s="58" t="n">
        <v>7</v>
      </c>
      <c r="H105" s="58" t="n">
        <v>0</v>
      </c>
      <c r="I105" s="58" t="n">
        <v>0</v>
      </c>
      <c r="J105" s="46">
        <f>G105+H105-I105</f>
        <v/>
      </c>
      <c r="K105" s="21">
        <f>IF(J105=0,"🔴缺货",IF(J105&lt;=2,"🟡低库存","🟢正常"))</f>
        <v/>
      </c>
      <c r="L105" s="8" t="inlineStr"/>
    </row>
    <row r="106" ht="17" customHeight="1">
      <c r="A106" s="4" t="n">
        <v>102</v>
      </c>
      <c r="B106" s="4" t="inlineStr">
        <is>
          <t>NN2530-M</t>
        </is>
      </c>
      <c r="C106" s="5" t="inlineStr">
        <is>
          <t>扭捏niunie 小浣熊松鼠趣味提花蓝色长袖衬衫宽松全棉纽扣上衣女</t>
        </is>
      </c>
      <c r="D106" s="5" t="inlineStr">
        <is>
          <t>小浣熊提花蓝色衬衫</t>
        </is>
      </c>
      <c r="E106" s="4" t="inlineStr">
        <is>
          <t>M</t>
        </is>
      </c>
      <c r="F106" s="6" t="n">
        <v>339</v>
      </c>
      <c r="G106" s="58" t="n">
        <v>2</v>
      </c>
      <c r="H106" s="58" t="n">
        <v>0</v>
      </c>
      <c r="I106" s="58" t="n">
        <v>0</v>
      </c>
      <c r="J106" s="46">
        <f>G106+H106-I106</f>
        <v/>
      </c>
      <c r="K106" s="21">
        <f>IF(J106=0,"🔴缺货",IF(J106&lt;=2,"🟡低库存","🟢正常"))</f>
        <v/>
      </c>
      <c r="L106" s="4" t="inlineStr"/>
    </row>
    <row r="107" ht="17" customHeight="1">
      <c r="A107" s="8" t="n">
        <v>103</v>
      </c>
      <c r="B107" s="8" t="inlineStr">
        <is>
          <t>NN2530-S</t>
        </is>
      </c>
      <c r="C107" s="9" t="inlineStr">
        <is>
          <t>扭捏niunie 小浣熊松鼠趣味提花蓝色长袖衬衫宽松全棉纽扣上衣女</t>
        </is>
      </c>
      <c r="D107" s="9" t="inlineStr">
        <is>
          <t>小浣熊提花蓝色衬衫</t>
        </is>
      </c>
      <c r="E107" s="8" t="inlineStr">
        <is>
          <t>S</t>
        </is>
      </c>
      <c r="F107" s="10" t="n">
        <v>339</v>
      </c>
      <c r="G107" s="58" t="n">
        <v>7</v>
      </c>
      <c r="H107" s="58" t="n">
        <v>0</v>
      </c>
      <c r="I107" s="58" t="n">
        <v>0</v>
      </c>
      <c r="J107" s="46">
        <f>G107+H107-I107</f>
        <v/>
      </c>
      <c r="K107" s="21">
        <f>IF(J107=0,"🔴缺货",IF(J107&lt;=2,"🟡低库存","🟢正常"))</f>
        <v/>
      </c>
      <c r="L107" s="8" t="inlineStr"/>
    </row>
    <row r="108" ht="17" customHeight="1">
      <c r="A108" s="4" t="n">
        <v>104</v>
      </c>
      <c r="B108" s="4" t="inlineStr">
        <is>
          <t>NN2538-M</t>
        </is>
      </c>
      <c r="C108" s="5" t="inlineStr">
        <is>
          <t>扭捏niunie 复古休闲翻领牛仔外套格子拼接A字半裙全棉高级感套装</t>
        </is>
      </c>
      <c r="D108" s="5" t="inlineStr">
        <is>
          <t>牛仔拼接格子半裙</t>
        </is>
      </c>
      <c r="E108" s="4" t="inlineStr">
        <is>
          <t>M</t>
        </is>
      </c>
      <c r="F108" s="6" t="n">
        <v>399</v>
      </c>
      <c r="G108" s="58" t="n">
        <v>37</v>
      </c>
      <c r="H108" s="58" t="n">
        <v>0</v>
      </c>
      <c r="I108" s="58" t="n">
        <v>0</v>
      </c>
      <c r="J108" s="46">
        <f>G108+H108-I108</f>
        <v/>
      </c>
      <c r="K108" s="21">
        <f>IF(J108=0,"🔴缺货",IF(J108&lt;=2,"🟡低库存","🟢正常"))</f>
        <v/>
      </c>
      <c r="L108" s="4" t="inlineStr"/>
    </row>
    <row r="109" ht="17" customHeight="1">
      <c r="A109" s="8" t="n">
        <v>105</v>
      </c>
      <c r="B109" s="8" t="inlineStr">
        <is>
          <t>NN2538-S</t>
        </is>
      </c>
      <c r="C109" s="9" t="inlineStr">
        <is>
          <t>扭捏niunie 复古休闲翻领牛仔外套格子拼接A字半裙全棉高级感套装</t>
        </is>
      </c>
      <c r="D109" s="9" t="inlineStr">
        <is>
          <t>牛仔拼接格子半裙</t>
        </is>
      </c>
      <c r="E109" s="8" t="inlineStr">
        <is>
          <t>S</t>
        </is>
      </c>
      <c r="F109" s="10" t="n">
        <v>399</v>
      </c>
      <c r="G109" s="58" t="n">
        <v>48</v>
      </c>
      <c r="H109" s="58" t="n">
        <v>0</v>
      </c>
      <c r="I109" s="58" t="n">
        <v>0</v>
      </c>
      <c r="J109" s="46">
        <f>G109+H109-I109</f>
        <v/>
      </c>
      <c r="K109" s="21">
        <f>IF(J109=0,"🔴缺货",IF(J109&lt;=2,"🟡低库存","🟢正常"))</f>
        <v/>
      </c>
      <c r="L109" s="8" t="inlineStr"/>
    </row>
    <row r="110" ht="17" customHeight="1">
      <c r="A110" s="4" t="n">
        <v>106</v>
      </c>
      <c r="B110" s="4" t="inlineStr">
        <is>
          <t>NN2537-M</t>
        </is>
      </c>
      <c r="C110" s="5" t="inlineStr">
        <is>
          <t>扭捏niunie 复古休闲翻领牛仔外套格子拼接A字半裙全棉高级感套装</t>
        </is>
      </c>
      <c r="D110" s="5" t="inlineStr">
        <is>
          <t>牛仔外套</t>
        </is>
      </c>
      <c r="E110" s="4" t="inlineStr">
        <is>
          <t>M</t>
        </is>
      </c>
      <c r="F110" s="6" t="n">
        <v>369</v>
      </c>
      <c r="G110" s="58" t="n">
        <v>0</v>
      </c>
      <c r="H110" s="58" t="n">
        <v>0</v>
      </c>
      <c r="I110" s="58" t="n">
        <v>0</v>
      </c>
      <c r="J110" s="46">
        <f>G110+H110-I110</f>
        <v/>
      </c>
      <c r="K110" s="21">
        <f>IF(J110=0,"🔴缺货",IF(J110&lt;=2,"🟡低库存","🟢正常"))</f>
        <v/>
      </c>
      <c r="L110" s="4" t="inlineStr"/>
    </row>
    <row r="111" ht="17" customHeight="1">
      <c r="A111" s="8" t="n">
        <v>107</v>
      </c>
      <c r="B111" s="8" t="inlineStr">
        <is>
          <t>NN2537-S</t>
        </is>
      </c>
      <c r="C111" s="9" t="inlineStr">
        <is>
          <t>扭捏niunie 复古休闲翻领牛仔外套格子拼接A字半裙全棉高级感套装</t>
        </is>
      </c>
      <c r="D111" s="9" t="inlineStr">
        <is>
          <t>牛仔外套</t>
        </is>
      </c>
      <c r="E111" s="8" t="inlineStr">
        <is>
          <t>S</t>
        </is>
      </c>
      <c r="F111" s="10" t="n">
        <v>369</v>
      </c>
      <c r="G111" s="58" t="n">
        <v>0</v>
      </c>
      <c r="H111" s="58" t="n">
        <v>0</v>
      </c>
      <c r="I111" s="58" t="n">
        <v>0</v>
      </c>
      <c r="J111" s="46">
        <f>G111+H111-I111</f>
        <v/>
      </c>
      <c r="K111" s="21">
        <f>IF(J111=0,"🔴缺货",IF(J111&lt;=2,"🟡低库存","🟢正常"))</f>
        <v/>
      </c>
      <c r="L111" s="8" t="inlineStr"/>
    </row>
    <row r="112" ht="17" customHeight="1">
      <c r="A112" s="4" t="n">
        <v>108</v>
      </c>
      <c r="B112" s="4" t="inlineStr"/>
      <c r="C112" s="5" t="inlineStr">
        <is>
          <t>扭捏niunie 复古vintage宽松慵懒感上衣 果实扣100%苎麻衬衫夏季</t>
        </is>
      </c>
      <c r="D112" s="5" t="inlineStr">
        <is>
          <t>黄色</t>
        </is>
      </c>
      <c r="E112" s="4" t="inlineStr">
        <is>
          <t>L</t>
        </is>
      </c>
      <c r="F112" s="6" t="n">
        <v>398</v>
      </c>
      <c r="G112" s="58" t="n">
        <v>11</v>
      </c>
      <c r="H112" s="58" t="n">
        <v>0</v>
      </c>
      <c r="I112" s="58" t="n">
        <v>0</v>
      </c>
      <c r="J112" s="46">
        <f>G112+H112-I112</f>
        <v/>
      </c>
      <c r="K112" s="21">
        <f>IF(J112=0,"🔴缺货",IF(J112&lt;=2,"🟡低库存","🟢正常"))</f>
        <v/>
      </c>
      <c r="L112" s="4" t="inlineStr"/>
    </row>
    <row r="113" ht="17" customHeight="1">
      <c r="A113" s="8" t="n">
        <v>109</v>
      </c>
      <c r="B113" s="8" t="inlineStr"/>
      <c r="C113" s="9" t="inlineStr">
        <is>
          <t>扭捏niunie 复古vintage宽松慵懒感上衣 果实扣100%苎麻衬衫夏季</t>
        </is>
      </c>
      <c r="D113" s="9" t="inlineStr">
        <is>
          <t>黄色</t>
        </is>
      </c>
      <c r="E113" s="8" t="inlineStr">
        <is>
          <t>M</t>
        </is>
      </c>
      <c r="F113" s="10" t="n">
        <v>398</v>
      </c>
      <c r="G113" s="58" t="n">
        <v>25</v>
      </c>
      <c r="H113" s="58" t="n">
        <v>0</v>
      </c>
      <c r="I113" s="58" t="n">
        <v>0</v>
      </c>
      <c r="J113" s="46">
        <f>G113+H113-I113</f>
        <v/>
      </c>
      <c r="K113" s="21">
        <f>IF(J113=0,"🔴缺货",IF(J113&lt;=2,"🟡低库存","🟢正常"))</f>
        <v/>
      </c>
      <c r="L113" s="8" t="inlineStr"/>
    </row>
    <row r="114" ht="17" customHeight="1">
      <c r="A114" s="4" t="n">
        <v>110</v>
      </c>
      <c r="B114" s="4" t="inlineStr"/>
      <c r="C114" s="5" t="inlineStr">
        <is>
          <t>扭捏niunie 复古vintage宽松慵懒感上衣 果实扣100%苎麻衬衫夏季</t>
        </is>
      </c>
      <c r="D114" s="5" t="inlineStr">
        <is>
          <t>黄色</t>
        </is>
      </c>
      <c r="E114" s="4" t="inlineStr">
        <is>
          <t>S</t>
        </is>
      </c>
      <c r="F114" s="6" t="n">
        <v>398</v>
      </c>
      <c r="G114" s="58" t="n">
        <v>16</v>
      </c>
      <c r="H114" s="58" t="n">
        <v>0</v>
      </c>
      <c r="I114" s="58" t="n">
        <v>0</v>
      </c>
      <c r="J114" s="46">
        <f>G114+H114-I114</f>
        <v/>
      </c>
      <c r="K114" s="21">
        <f>IF(J114=0,"🔴缺货",IF(J114&lt;=2,"🟡低库存","🟢正常"))</f>
        <v/>
      </c>
      <c r="L114" s="4" t="inlineStr"/>
    </row>
    <row r="115" ht="17" customHeight="1">
      <c r="A115" s="8" t="n">
        <v>111</v>
      </c>
      <c r="B115" s="8" t="inlineStr">
        <is>
          <t>NTF0311W-1-L</t>
        </is>
      </c>
      <c r="C115" s="9" t="inlineStr">
        <is>
          <t>扭捏 少女的祈祷 花边拼接蛋糕a字小短裙白色半身裙 防走光内衬</t>
        </is>
      </c>
      <c r="D115" s="9" t="inlineStr">
        <is>
          <t>白色拼接短裙 （绗缝位置改版）</t>
        </is>
      </c>
      <c r="E115" s="8" t="inlineStr">
        <is>
          <t>L</t>
        </is>
      </c>
      <c r="F115" s="10" t="n">
        <v>338</v>
      </c>
      <c r="G115" s="58" t="n">
        <v>13</v>
      </c>
      <c r="H115" s="58" t="n">
        <v>0</v>
      </c>
      <c r="I115" s="58" t="n">
        <v>0</v>
      </c>
      <c r="J115" s="46">
        <f>G115+H115-I115</f>
        <v/>
      </c>
      <c r="K115" s="21">
        <f>IF(J115=0,"🔴缺货",IF(J115&lt;=2,"🟡低库存","🟢正常"))</f>
        <v/>
      </c>
      <c r="L115" s="8" t="inlineStr"/>
    </row>
    <row r="116" ht="17" customHeight="1">
      <c r="A116" s="4" t="n">
        <v>112</v>
      </c>
      <c r="B116" s="4" t="inlineStr">
        <is>
          <t>NTF0311W-1-M</t>
        </is>
      </c>
      <c r="C116" s="5" t="inlineStr">
        <is>
          <t>扭捏 少女的祈祷 花边拼接蛋糕a字小短裙白色半身裙 防走光内衬</t>
        </is>
      </c>
      <c r="D116" s="5" t="inlineStr">
        <is>
          <t>白色拼接短裙 （绗缝位置改版）</t>
        </is>
      </c>
      <c r="E116" s="4" t="inlineStr">
        <is>
          <t>M</t>
        </is>
      </c>
      <c r="F116" s="6" t="n">
        <v>338</v>
      </c>
      <c r="G116" s="58" t="n">
        <v>17</v>
      </c>
      <c r="H116" s="58" t="n">
        <v>0</v>
      </c>
      <c r="I116" s="58" t="n">
        <v>0</v>
      </c>
      <c r="J116" s="46">
        <f>G116+H116-I116</f>
        <v/>
      </c>
      <c r="K116" s="21">
        <f>IF(J116=0,"🔴缺货",IF(J116&lt;=2,"🟡低库存","🟢正常"))</f>
        <v/>
      </c>
      <c r="L116" s="4" t="inlineStr"/>
    </row>
    <row r="117" ht="17" customHeight="1">
      <c r="A117" s="8" t="n">
        <v>113</v>
      </c>
      <c r="B117" s="8" t="inlineStr">
        <is>
          <t>NTF0311W-1-S</t>
        </is>
      </c>
      <c r="C117" s="9" t="inlineStr">
        <is>
          <t>扭捏 少女的祈祷 花边拼接蛋糕a字小短裙白色半身裙 防走光内衬</t>
        </is>
      </c>
      <c r="D117" s="9" t="inlineStr">
        <is>
          <t>白色拼接短裙 （绗缝位置改版）</t>
        </is>
      </c>
      <c r="E117" s="8" t="inlineStr">
        <is>
          <t>S</t>
        </is>
      </c>
      <c r="F117" s="10" t="n">
        <v>338</v>
      </c>
      <c r="G117" s="58" t="n">
        <v>13</v>
      </c>
      <c r="H117" s="58" t="n">
        <v>0</v>
      </c>
      <c r="I117" s="58" t="n">
        <v>0</v>
      </c>
      <c r="J117" s="46">
        <f>G117+H117-I117</f>
        <v/>
      </c>
      <c r="K117" s="21">
        <f>IF(J117=0,"🔴缺货",IF(J117&lt;=2,"🟡低库存","🟢正常"))</f>
        <v/>
      </c>
      <c r="L117" s="8" t="inlineStr"/>
    </row>
    <row r="118" ht="17" customHeight="1">
      <c r="A118" s="4" t="n">
        <v>114</v>
      </c>
      <c r="B118" s="4" t="inlineStr">
        <is>
          <t>NTF0307B-L</t>
        </is>
      </c>
      <c r="C118" s="5" t="inlineStr">
        <is>
          <t>扭捏niunie 玫瑰小猫可爱印花 弹力花边圆领正肩白色短袖T恤女夏</t>
        </is>
      </c>
      <c r="D118" s="5" t="inlineStr">
        <is>
          <t>玫瑰印花白色T恤</t>
        </is>
      </c>
      <c r="E118" s="4" t="inlineStr">
        <is>
          <t>L</t>
        </is>
      </c>
      <c r="F118" s="6" t="n">
        <v>198</v>
      </c>
      <c r="G118" s="58" t="n">
        <v>0</v>
      </c>
      <c r="H118" s="58" t="n">
        <v>0</v>
      </c>
      <c r="I118" s="58" t="n">
        <v>0</v>
      </c>
      <c r="J118" s="46">
        <f>G118+H118-I118</f>
        <v/>
      </c>
      <c r="K118" s="21">
        <f>IF(J118=0,"🔴缺货",IF(J118&lt;=2,"🟡低库存","🟢正常"))</f>
        <v/>
      </c>
      <c r="L118" s="4" t="inlineStr"/>
    </row>
    <row r="119" ht="17" customHeight="1">
      <c r="A119" s="8" t="n">
        <v>115</v>
      </c>
      <c r="B119" s="8" t="inlineStr">
        <is>
          <t>NTF0307B-M</t>
        </is>
      </c>
      <c r="C119" s="9" t="inlineStr">
        <is>
          <t>扭捏niunie 玫瑰小猫可爱印花 弹力花边圆领正肩白色短袖T恤女夏</t>
        </is>
      </c>
      <c r="D119" s="9" t="inlineStr">
        <is>
          <t>玫瑰印花白色T恤</t>
        </is>
      </c>
      <c r="E119" s="8" t="inlineStr">
        <is>
          <t>M</t>
        </is>
      </c>
      <c r="F119" s="10" t="n">
        <v>198</v>
      </c>
      <c r="G119" s="58" t="n">
        <v>6</v>
      </c>
      <c r="H119" s="58" t="n">
        <v>0</v>
      </c>
      <c r="I119" s="58" t="n">
        <v>0</v>
      </c>
      <c r="J119" s="46">
        <f>G119+H119-I119</f>
        <v/>
      </c>
      <c r="K119" s="21">
        <f>IF(J119=0,"🔴缺货",IF(J119&lt;=2,"🟡低库存","🟢正常"))</f>
        <v/>
      </c>
      <c r="L119" s="8" t="inlineStr"/>
    </row>
    <row r="120" ht="17" customHeight="1">
      <c r="A120" s="4" t="n">
        <v>116</v>
      </c>
      <c r="B120" s="4" t="inlineStr">
        <is>
          <t>NTF0307B-S</t>
        </is>
      </c>
      <c r="C120" s="5" t="inlineStr">
        <is>
          <t>扭捏niunie 玫瑰小猫可爱印花 弹力花边圆领正肩白色短袖T恤女夏</t>
        </is>
      </c>
      <c r="D120" s="5" t="inlineStr">
        <is>
          <t>玫瑰印花白色T恤</t>
        </is>
      </c>
      <c r="E120" s="4" t="inlineStr">
        <is>
          <t>S</t>
        </is>
      </c>
      <c r="F120" s="6" t="n">
        <v>198</v>
      </c>
      <c r="G120" s="58" t="n">
        <v>3</v>
      </c>
      <c r="H120" s="58" t="n">
        <v>0</v>
      </c>
      <c r="I120" s="58" t="n">
        <v>0</v>
      </c>
      <c r="J120" s="46">
        <f>G120+H120-I120</f>
        <v/>
      </c>
      <c r="K120" s="21">
        <f>IF(J120=0,"🔴缺货",IF(J120&lt;=2,"🟡低库存","🟢正常"))</f>
        <v/>
      </c>
      <c r="L120" s="4" t="inlineStr"/>
    </row>
    <row r="121" ht="17" customHeight="1">
      <c r="A121" s="8" t="n">
        <v>117</v>
      </c>
      <c r="B121" s="8" t="inlineStr">
        <is>
          <t>NTF0307C-L</t>
        </is>
      </c>
      <c r="C121" s="9" t="inlineStr">
        <is>
          <t>扭捏niunie 玫瑰小猫可爱印花 弹力花边圆领正肩白色短袖T恤女夏</t>
        </is>
      </c>
      <c r="D121" s="9" t="inlineStr">
        <is>
          <t>小猫印花白色T恤</t>
        </is>
      </c>
      <c r="E121" s="8" t="inlineStr">
        <is>
          <t>L</t>
        </is>
      </c>
      <c r="F121" s="10" t="n">
        <v>198</v>
      </c>
      <c r="G121" s="58" t="n">
        <v>10</v>
      </c>
      <c r="H121" s="58" t="n">
        <v>0</v>
      </c>
      <c r="I121" s="58" t="n">
        <v>0</v>
      </c>
      <c r="J121" s="46">
        <f>G121+H121-I121</f>
        <v/>
      </c>
      <c r="K121" s="21">
        <f>IF(J121=0,"🔴缺货",IF(J121&lt;=2,"🟡低库存","🟢正常"))</f>
        <v/>
      </c>
      <c r="L121" s="8" t="inlineStr"/>
    </row>
    <row r="122" ht="17" customHeight="1">
      <c r="A122" s="4" t="n">
        <v>118</v>
      </c>
      <c r="B122" s="4" t="inlineStr">
        <is>
          <t>NTF0307C-M</t>
        </is>
      </c>
      <c r="C122" s="5" t="inlineStr">
        <is>
          <t>扭捏niunie 玫瑰小猫可爱印花 弹力花边圆领正肩白色短袖T恤女夏</t>
        </is>
      </c>
      <c r="D122" s="5" t="inlineStr">
        <is>
          <t>小猫印花白色T恤</t>
        </is>
      </c>
      <c r="E122" s="4" t="inlineStr">
        <is>
          <t>M</t>
        </is>
      </c>
      <c r="F122" s="6" t="n">
        <v>198</v>
      </c>
      <c r="G122" s="58" t="n">
        <v>3</v>
      </c>
      <c r="H122" s="58" t="n">
        <v>0</v>
      </c>
      <c r="I122" s="58" t="n">
        <v>0</v>
      </c>
      <c r="J122" s="46">
        <f>G122+H122-I122</f>
        <v/>
      </c>
      <c r="K122" s="21">
        <f>IF(J122=0,"🔴缺货",IF(J122&lt;=2,"🟡低库存","🟢正常"))</f>
        <v/>
      </c>
      <c r="L122" s="4" t="inlineStr"/>
    </row>
    <row r="123" ht="17" customHeight="1">
      <c r="A123" s="8" t="n">
        <v>119</v>
      </c>
      <c r="B123" s="8" t="inlineStr">
        <is>
          <t>NTF0307C-S</t>
        </is>
      </c>
      <c r="C123" s="9" t="inlineStr">
        <is>
          <t>扭捏niunie 玫瑰小猫可爱印花 弹力花边圆领正肩白色短袖T恤女夏</t>
        </is>
      </c>
      <c r="D123" s="9" t="inlineStr">
        <is>
          <t>小猫印花白色T恤</t>
        </is>
      </c>
      <c r="E123" s="8" t="inlineStr">
        <is>
          <t>S</t>
        </is>
      </c>
      <c r="F123" s="10" t="n">
        <v>198</v>
      </c>
      <c r="G123" s="58" t="n">
        <v>7</v>
      </c>
      <c r="H123" s="58" t="n">
        <v>0</v>
      </c>
      <c r="I123" s="58" t="n">
        <v>0</v>
      </c>
      <c r="J123" s="46">
        <f>G123+H123-I123</f>
        <v/>
      </c>
      <c r="K123" s="21">
        <f>IF(J123=0,"🔴缺货",IF(J123&lt;=2,"🟡低库存","🟢正常"))</f>
        <v/>
      </c>
      <c r="L123" s="8" t="inlineStr"/>
    </row>
    <row r="124" ht="17" customHeight="1">
      <c r="A124" s="4" t="n">
        <v>120</v>
      </c>
      <c r="B124" s="4" t="inlineStr">
        <is>
          <t>NTF-0322-L</t>
        </is>
      </c>
      <c r="C124" s="5" t="inlineStr">
        <is>
          <t>扭捏niunie 原创醋酸缎感 法式浪漫气质印花荡领吊带连衣裙短款夏</t>
        </is>
      </c>
      <c r="D124" s="5" t="inlineStr">
        <is>
          <t>荡领吊带印花连衣裙</t>
        </is>
      </c>
      <c r="E124" s="4" t="inlineStr">
        <is>
          <t>L</t>
        </is>
      </c>
      <c r="F124" s="6" t="n">
        <v>588</v>
      </c>
      <c r="G124" s="58" t="n">
        <v>15</v>
      </c>
      <c r="H124" s="58" t="n">
        <v>0</v>
      </c>
      <c r="I124" s="58" t="n">
        <v>0</v>
      </c>
      <c r="J124" s="46">
        <f>G124+H124-I124</f>
        <v/>
      </c>
      <c r="K124" s="21">
        <f>IF(J124=0,"🔴缺货",IF(J124&lt;=2,"🟡低库存","🟢正常"))</f>
        <v/>
      </c>
      <c r="L124" s="4" t="inlineStr"/>
    </row>
    <row r="125" ht="17" customHeight="1">
      <c r="A125" s="8" t="n">
        <v>121</v>
      </c>
      <c r="B125" s="8" t="inlineStr">
        <is>
          <t>NTF-0322-M</t>
        </is>
      </c>
      <c r="C125" s="9" t="inlineStr">
        <is>
          <t>扭捏niunie 原创醋酸缎感 法式浪漫气质印花荡领吊带连衣裙短款夏</t>
        </is>
      </c>
      <c r="D125" s="9" t="inlineStr">
        <is>
          <t>荡领吊带印花连衣裙</t>
        </is>
      </c>
      <c r="E125" s="8" t="inlineStr">
        <is>
          <t>M</t>
        </is>
      </c>
      <c r="F125" s="10" t="n">
        <v>588</v>
      </c>
      <c r="G125" s="58" t="n">
        <v>15</v>
      </c>
      <c r="H125" s="58" t="n">
        <v>0</v>
      </c>
      <c r="I125" s="58" t="n">
        <v>0</v>
      </c>
      <c r="J125" s="46">
        <f>G125+H125-I125</f>
        <v/>
      </c>
      <c r="K125" s="21">
        <f>IF(J125=0,"🔴缺货",IF(J125&lt;=2,"🟡低库存","🟢正常"))</f>
        <v/>
      </c>
      <c r="L125" s="8" t="inlineStr"/>
    </row>
    <row r="126" ht="17" customHeight="1">
      <c r="A126" s="4" t="n">
        <v>122</v>
      </c>
      <c r="B126" s="4" t="inlineStr">
        <is>
          <t>NTF-0322-S</t>
        </is>
      </c>
      <c r="C126" s="5" t="inlineStr">
        <is>
          <t>扭捏niunie 原创醋酸缎感 法式浪漫气质印花荡领吊带连衣裙短款夏</t>
        </is>
      </c>
      <c r="D126" s="5" t="inlineStr">
        <is>
          <t>荡领吊带印花连衣裙</t>
        </is>
      </c>
      <c r="E126" s="4" t="inlineStr">
        <is>
          <t>S</t>
        </is>
      </c>
      <c r="F126" s="6" t="n">
        <v>588</v>
      </c>
      <c r="G126" s="58" t="n">
        <v>14</v>
      </c>
      <c r="H126" s="58" t="n">
        <v>0</v>
      </c>
      <c r="I126" s="58" t="n">
        <v>0</v>
      </c>
      <c r="J126" s="46">
        <f>G126+H126-I126</f>
        <v/>
      </c>
      <c r="K126" s="21">
        <f>IF(J126=0,"🔴缺货",IF(J126&lt;=2,"🟡低库存","🟢正常"))</f>
        <v/>
      </c>
      <c r="L126" s="4" t="inlineStr"/>
    </row>
    <row r="127" ht="17" customHeight="1">
      <c r="A127" s="8" t="n">
        <v>123</v>
      </c>
      <c r="B127" s="8" t="inlineStr">
        <is>
          <t>NN-2505-L</t>
        </is>
      </c>
      <c r="C127" s="9" t="inlineStr">
        <is>
          <t>扭捏niunie 彩线格子蓝色纱边 自然日系艺术感宽松棉麻中长半身裙</t>
        </is>
      </c>
      <c r="D127" s="9" t="inlineStr">
        <is>
          <t>彩线格子半身裙</t>
        </is>
      </c>
      <c r="E127" s="8" t="inlineStr">
        <is>
          <t>L</t>
        </is>
      </c>
      <c r="F127" s="10" t="n">
        <v>528</v>
      </c>
      <c r="G127" s="58" t="n">
        <v>15</v>
      </c>
      <c r="H127" s="58" t="n">
        <v>0</v>
      </c>
      <c r="I127" s="58" t="n">
        <v>0</v>
      </c>
      <c r="J127" s="46">
        <f>G127+H127-I127</f>
        <v/>
      </c>
      <c r="K127" s="21">
        <f>IF(J127=0,"🔴缺货",IF(J127&lt;=2,"🟡低库存","🟢正常"))</f>
        <v/>
      </c>
      <c r="L127" s="8" t="inlineStr"/>
    </row>
    <row r="128" ht="17" customHeight="1">
      <c r="A128" s="4" t="n">
        <v>124</v>
      </c>
      <c r="B128" s="4" t="inlineStr">
        <is>
          <t>NN-2505-M</t>
        </is>
      </c>
      <c r="C128" s="5" t="inlineStr">
        <is>
          <t>扭捏niunie 彩线格子蓝色纱边 自然日系艺术感宽松棉麻中长半身裙</t>
        </is>
      </c>
      <c r="D128" s="5" t="inlineStr">
        <is>
          <t>彩线格子半身裙</t>
        </is>
      </c>
      <c r="E128" s="4" t="inlineStr">
        <is>
          <t>M</t>
        </is>
      </c>
      <c r="F128" s="6" t="n">
        <v>528</v>
      </c>
      <c r="G128" s="58" t="n">
        <v>15</v>
      </c>
      <c r="H128" s="58" t="n">
        <v>0</v>
      </c>
      <c r="I128" s="58" t="n">
        <v>0</v>
      </c>
      <c r="J128" s="46">
        <f>G128+H128-I128</f>
        <v/>
      </c>
      <c r="K128" s="21">
        <f>IF(J128=0,"🔴缺货",IF(J128&lt;=2,"🟡低库存","🟢正常"))</f>
        <v/>
      </c>
      <c r="L128" s="4" t="inlineStr"/>
    </row>
    <row r="129" ht="17" customHeight="1">
      <c r="A129" s="8" t="n">
        <v>125</v>
      </c>
      <c r="B129" s="8" t="inlineStr">
        <is>
          <t>NN-2505-S</t>
        </is>
      </c>
      <c r="C129" s="9" t="inlineStr">
        <is>
          <t>扭捏niunie 彩线格子蓝色纱边 自然日系艺术感宽松棉麻中长半身裙</t>
        </is>
      </c>
      <c r="D129" s="9" t="inlineStr">
        <is>
          <t>彩线格子半身裙</t>
        </is>
      </c>
      <c r="E129" s="8" t="inlineStr">
        <is>
          <t>S</t>
        </is>
      </c>
      <c r="F129" s="10" t="n">
        <v>528</v>
      </c>
      <c r="G129" s="58" t="n">
        <v>15</v>
      </c>
      <c r="H129" s="58" t="n">
        <v>0</v>
      </c>
      <c r="I129" s="58" t="n">
        <v>0</v>
      </c>
      <c r="J129" s="46">
        <f>G129+H129-I129</f>
        <v/>
      </c>
      <c r="K129" s="21">
        <f>IF(J129=0,"🔴缺货",IF(J129&lt;=2,"🟡低库存","🟢正常"))</f>
        <v/>
      </c>
      <c r="L129" s="8" t="inlineStr"/>
    </row>
    <row r="130" ht="17" customHeight="1">
      <c r="A130" s="4" t="n">
        <v>126</v>
      </c>
      <c r="B130" s="4" t="inlineStr">
        <is>
          <t>NN-2508-L</t>
        </is>
      </c>
      <c r="C130" s="5" t="inlineStr">
        <is>
          <t>扭捏niunie 复古直筒裤 米黄色花朵刺绣宽松百搭休闲长裤春夏</t>
        </is>
      </c>
      <c r="D130" s="5" t="inlineStr">
        <is>
          <t>米黄色刺绣长裤</t>
        </is>
      </c>
      <c r="E130" s="4" t="inlineStr">
        <is>
          <t>L</t>
        </is>
      </c>
      <c r="F130" s="6" t="n">
        <v>388</v>
      </c>
      <c r="G130" s="58" t="n">
        <v>0</v>
      </c>
      <c r="H130" s="58" t="n">
        <v>0</v>
      </c>
      <c r="I130" s="58" t="n">
        <v>0</v>
      </c>
      <c r="J130" s="46">
        <f>G130+H130-I130</f>
        <v/>
      </c>
      <c r="K130" s="21">
        <f>IF(J130=0,"🔴缺货",IF(J130&lt;=2,"🟡低库存","🟢正常"))</f>
        <v/>
      </c>
      <c r="L130" s="4" t="inlineStr"/>
    </row>
    <row r="131" ht="17" customHeight="1">
      <c r="A131" s="8" t="n">
        <v>127</v>
      </c>
      <c r="B131" s="8" t="inlineStr">
        <is>
          <t>NN-2508-M</t>
        </is>
      </c>
      <c r="C131" s="9" t="inlineStr">
        <is>
          <t>扭捏niunie 复古直筒裤 米黄色花朵刺绣宽松百搭休闲长裤春夏</t>
        </is>
      </c>
      <c r="D131" s="9" t="inlineStr">
        <is>
          <t>米黄色刺绣长裤</t>
        </is>
      </c>
      <c r="E131" s="8" t="inlineStr">
        <is>
          <t>S</t>
        </is>
      </c>
      <c r="F131" s="10" t="n">
        <v>388</v>
      </c>
      <c r="G131" s="58" t="n">
        <v>15</v>
      </c>
      <c r="H131" s="58" t="n">
        <v>0</v>
      </c>
      <c r="I131" s="58" t="n">
        <v>0</v>
      </c>
      <c r="J131" s="46">
        <f>G131+H131-I131</f>
        <v/>
      </c>
      <c r="K131" s="21">
        <f>IF(J131=0,"🔴缺货",IF(J131&lt;=2,"🟡低库存","🟢正常"))</f>
        <v/>
      </c>
      <c r="L131" s="8" t="inlineStr"/>
    </row>
    <row r="132" ht="17" customHeight="1">
      <c r="A132" s="4" t="n">
        <v>128</v>
      </c>
      <c r="B132" s="4" t="inlineStr">
        <is>
          <t>NN-2508-S</t>
        </is>
      </c>
      <c r="C132" s="5" t="inlineStr">
        <is>
          <t>扭捏niunie 复古直筒裤 米黄色花朵刺绣宽松百搭休闲长裤春夏</t>
        </is>
      </c>
      <c r="D132" s="5" t="inlineStr">
        <is>
          <t>米黄色刺绣长裤</t>
        </is>
      </c>
      <c r="E132" s="4" t="inlineStr">
        <is>
          <t>M</t>
        </is>
      </c>
      <c r="F132" s="6" t="n">
        <v>388</v>
      </c>
      <c r="G132" s="58" t="n">
        <v>14</v>
      </c>
      <c r="H132" s="58" t="n">
        <v>0</v>
      </c>
      <c r="I132" s="58" t="n">
        <v>0</v>
      </c>
      <c r="J132" s="46">
        <f>G132+H132-I132</f>
        <v/>
      </c>
      <c r="K132" s="21">
        <f>IF(J132=0,"🔴缺货",IF(J132&lt;=2,"🟡低库存","🟢正常"))</f>
        <v/>
      </c>
      <c r="L132" s="4" t="inlineStr"/>
    </row>
    <row r="133" ht="17" customHeight="1">
      <c r="A133" s="8" t="n">
        <v>129</v>
      </c>
      <c r="B133" s="8" t="inlineStr">
        <is>
          <t>NN-2502-M</t>
        </is>
      </c>
      <c r="C133" s="9" t="inlineStr">
        <is>
          <t>扭捏niunie 复古vintage宽松绑带木耳花边 紫色纯棉格子连衣裙夏</t>
        </is>
      </c>
      <c r="D133" s="9" t="inlineStr">
        <is>
          <t>紫色格子连衣裙</t>
        </is>
      </c>
      <c r="E133" s="8" t="inlineStr">
        <is>
          <t>M</t>
        </is>
      </c>
      <c r="F133" s="10" t="n">
        <v>588</v>
      </c>
      <c r="G133" s="58" t="n">
        <v>20</v>
      </c>
      <c r="H133" s="58" t="n">
        <v>0</v>
      </c>
      <c r="I133" s="58" t="n">
        <v>0</v>
      </c>
      <c r="J133" s="46">
        <f>G133+H133-I133</f>
        <v/>
      </c>
      <c r="K133" s="21">
        <f>IF(J133=0,"🔴缺货",IF(J133&lt;=2,"🟡低库存","🟢正常"))</f>
        <v/>
      </c>
      <c r="L133" s="8" t="inlineStr"/>
    </row>
    <row r="134" ht="17" customHeight="1">
      <c r="A134" s="4" t="n">
        <v>130</v>
      </c>
      <c r="B134" s="4" t="inlineStr">
        <is>
          <t>NN-2502-S</t>
        </is>
      </c>
      <c r="C134" s="5" t="inlineStr">
        <is>
          <t>扭捏niunie 复古vintage宽松绑带木耳花边 紫色纯棉格子连衣裙夏</t>
        </is>
      </c>
      <c r="D134" s="5" t="inlineStr">
        <is>
          <t>紫色格子连衣裙</t>
        </is>
      </c>
      <c r="E134" s="4" t="inlineStr">
        <is>
          <t>S</t>
        </is>
      </c>
      <c r="F134" s="6" t="n">
        <v>588</v>
      </c>
      <c r="G134" s="58" t="n">
        <v>20</v>
      </c>
      <c r="H134" s="58" t="n">
        <v>0</v>
      </c>
      <c r="I134" s="58" t="n">
        <v>0</v>
      </c>
      <c r="J134" s="46">
        <f>G134+H134-I134</f>
        <v/>
      </c>
      <c r="K134" s="21">
        <f>IF(J134=0,"🔴缺货",IF(J134&lt;=2,"🟡低库存","🟢正常"))</f>
        <v/>
      </c>
      <c r="L134" s="4" t="inlineStr"/>
    </row>
    <row r="135" ht="17" customHeight="1">
      <c r="A135" s="8" t="n">
        <v>131</v>
      </c>
      <c r="B135" s="8" t="inlineStr">
        <is>
          <t>NN-2509-L</t>
        </is>
      </c>
      <c r="C135" s="9" t="inlineStr">
        <is>
          <t>扭捏niunie 植物系重工刺绣背后绑带复古苎麻短袖衬衫 原创设计</t>
        </is>
      </c>
      <c r="D135" s="9" t="inlineStr">
        <is>
          <t>植物刺绣背后绑带衬衫</t>
        </is>
      </c>
      <c r="E135" s="8" t="inlineStr">
        <is>
          <t>L</t>
        </is>
      </c>
      <c r="F135" s="10" t="n">
        <v>468</v>
      </c>
      <c r="G135" s="58" t="n">
        <v>17</v>
      </c>
      <c r="H135" s="58" t="n">
        <v>0</v>
      </c>
      <c r="I135" s="58" t="n">
        <v>0</v>
      </c>
      <c r="J135" s="46">
        <f>G135+H135-I135</f>
        <v/>
      </c>
      <c r="K135" s="21">
        <f>IF(J135=0,"🔴缺货",IF(J135&lt;=2,"🟡低库存","🟢正常"))</f>
        <v/>
      </c>
      <c r="L135" s="8" t="inlineStr"/>
    </row>
    <row r="136" ht="17" customHeight="1">
      <c r="A136" s="4" t="n">
        <v>132</v>
      </c>
      <c r="B136" s="4" t="inlineStr">
        <is>
          <t>NN-2509-M</t>
        </is>
      </c>
      <c r="C136" s="5" t="inlineStr">
        <is>
          <t>扭捏niunie 植物系重工刺绣背后绑带复古苎麻短袖衬衫 原创设计</t>
        </is>
      </c>
      <c r="D136" s="5" t="inlineStr">
        <is>
          <t>植物刺绣背后绑带衬衫</t>
        </is>
      </c>
      <c r="E136" s="4" t="inlineStr">
        <is>
          <t>M</t>
        </is>
      </c>
      <c r="F136" s="6" t="n">
        <v>468</v>
      </c>
      <c r="G136" s="58" t="n">
        <v>13</v>
      </c>
      <c r="H136" s="58" t="n">
        <v>0</v>
      </c>
      <c r="I136" s="58" t="n">
        <v>0</v>
      </c>
      <c r="J136" s="46">
        <f>G136+H136-I136</f>
        <v/>
      </c>
      <c r="K136" s="21">
        <f>IF(J136=0,"🔴缺货",IF(J136&lt;=2,"🟡低库存","🟢正常"))</f>
        <v/>
      </c>
      <c r="L136" s="4" t="inlineStr"/>
    </row>
    <row r="137" ht="17" customHeight="1">
      <c r="A137" s="8" t="n">
        <v>133</v>
      </c>
      <c r="B137" s="8" t="inlineStr">
        <is>
          <t>NN-2509-S</t>
        </is>
      </c>
      <c r="C137" s="9" t="inlineStr">
        <is>
          <t>扭捏niunie 植物系重工刺绣背后绑带复古苎麻短袖衬衫 原创设计</t>
        </is>
      </c>
      <c r="D137" s="9" t="inlineStr">
        <is>
          <t>植物刺绣背后绑带衬衫</t>
        </is>
      </c>
      <c r="E137" s="8" t="inlineStr">
        <is>
          <t>S</t>
        </is>
      </c>
      <c r="F137" s="10" t="n">
        <v>468</v>
      </c>
      <c r="G137" s="58" t="n">
        <v>8</v>
      </c>
      <c r="H137" s="58" t="n">
        <v>0</v>
      </c>
      <c r="I137" s="58" t="n">
        <v>0</v>
      </c>
      <c r="J137" s="46">
        <f>G137+H137-I137</f>
        <v/>
      </c>
      <c r="K137" s="21">
        <f>IF(J137=0,"🔴缺货",IF(J137&lt;=2,"🟡低库存","🟢正常"))</f>
        <v/>
      </c>
      <c r="L137" s="8" t="inlineStr"/>
    </row>
    <row r="138" ht="17" customHeight="1">
      <c r="A138" s="4" t="n">
        <v>134</v>
      </c>
      <c r="B138" s="4" t="inlineStr">
        <is>
          <t>NN-0905P-M</t>
        </is>
      </c>
      <c r="C138" s="5" t="inlineStr">
        <is>
          <t>扭捏niunie 绿色紫色苎麻天丝 双层含棉内衬 松紧腰短裤夏季新款</t>
        </is>
      </c>
      <c r="D138" s="5" t="inlineStr">
        <is>
          <t>紫色苎麻天丝短裤</t>
        </is>
      </c>
      <c r="E138" s="4" t="inlineStr">
        <is>
          <t>M</t>
        </is>
      </c>
      <c r="F138" s="6" t="n">
        <v>338</v>
      </c>
      <c r="G138" s="58" t="n">
        <v>12</v>
      </c>
      <c r="H138" s="58" t="n">
        <v>0</v>
      </c>
      <c r="I138" s="58" t="n">
        <v>0</v>
      </c>
      <c r="J138" s="46">
        <f>G138+H138-I138</f>
        <v/>
      </c>
      <c r="K138" s="21">
        <f>IF(J138=0,"🔴缺货",IF(J138&lt;=2,"🟡低库存","🟢正常"))</f>
        <v/>
      </c>
      <c r="L138" s="4" t="inlineStr"/>
    </row>
    <row r="139" ht="17" customHeight="1">
      <c r="A139" s="8" t="n">
        <v>135</v>
      </c>
      <c r="B139" s="8" t="inlineStr">
        <is>
          <t>NN-0905P-S</t>
        </is>
      </c>
      <c r="C139" s="9" t="inlineStr">
        <is>
          <t>扭捏niunie 绿色紫色苎麻天丝 双层含棉内衬 松紧腰短裤夏季新款</t>
        </is>
      </c>
      <c r="D139" s="9" t="inlineStr">
        <is>
          <t>紫色苎麻天丝短裤</t>
        </is>
      </c>
      <c r="E139" s="8" t="inlineStr">
        <is>
          <t>S</t>
        </is>
      </c>
      <c r="F139" s="10" t="n">
        <v>338</v>
      </c>
      <c r="G139" s="58" t="n">
        <v>11</v>
      </c>
      <c r="H139" s="58" t="n">
        <v>0</v>
      </c>
      <c r="I139" s="58" t="n">
        <v>0</v>
      </c>
      <c r="J139" s="46">
        <f>G139+H139-I139</f>
        <v/>
      </c>
      <c r="K139" s="21">
        <f>IF(J139=0,"🔴缺货",IF(J139&lt;=2,"🟡低库存","🟢正常"))</f>
        <v/>
      </c>
      <c r="L139" s="8" t="inlineStr"/>
    </row>
    <row r="140" ht="17" customHeight="1">
      <c r="A140" s="4" t="n">
        <v>136</v>
      </c>
      <c r="B140" s="4" t="inlineStr">
        <is>
          <t>NN-0905G-M</t>
        </is>
      </c>
      <c r="C140" s="5" t="inlineStr">
        <is>
          <t>扭捏niunie 绿色紫色苎麻天丝 双层含棉内衬 松紧腰短裤夏季新款</t>
        </is>
      </c>
      <c r="D140" s="5" t="inlineStr">
        <is>
          <t>绿色苎麻天丝短裤</t>
        </is>
      </c>
      <c r="E140" s="4" t="inlineStr">
        <is>
          <t>M</t>
        </is>
      </c>
      <c r="F140" s="6" t="n">
        <v>338</v>
      </c>
      <c r="G140" s="58" t="n">
        <v>9</v>
      </c>
      <c r="H140" s="58" t="n">
        <v>0</v>
      </c>
      <c r="I140" s="58" t="n">
        <v>0</v>
      </c>
      <c r="J140" s="46">
        <f>G140+H140-I140</f>
        <v/>
      </c>
      <c r="K140" s="21">
        <f>IF(J140=0,"🔴缺货",IF(J140&lt;=2,"🟡低库存","🟢正常"))</f>
        <v/>
      </c>
      <c r="L140" s="4" t="inlineStr"/>
    </row>
    <row r="141" ht="17" customHeight="1">
      <c r="A141" s="8" t="n">
        <v>137</v>
      </c>
      <c r="B141" s="8" t="inlineStr">
        <is>
          <t>NN-0905G-S</t>
        </is>
      </c>
      <c r="C141" s="9" t="inlineStr">
        <is>
          <t>扭捏niunie 绿色紫色苎麻天丝 双层含棉内衬 松紧腰短裤夏季新款</t>
        </is>
      </c>
      <c r="D141" s="9" t="inlineStr">
        <is>
          <t>绿色苎麻天丝短裤</t>
        </is>
      </c>
      <c r="E141" s="8" t="inlineStr">
        <is>
          <t>S</t>
        </is>
      </c>
      <c r="F141" s="10" t="n">
        <v>338</v>
      </c>
      <c r="G141" s="58" t="n">
        <v>11</v>
      </c>
      <c r="H141" s="58" t="n">
        <v>0</v>
      </c>
      <c r="I141" s="58" t="n">
        <v>0</v>
      </c>
      <c r="J141" s="46">
        <f>G141+H141-I141</f>
        <v/>
      </c>
      <c r="K141" s="21">
        <f>IF(J141=0,"🔴缺货",IF(J141&lt;=2,"🟡低库存","🟢正常"))</f>
        <v/>
      </c>
      <c r="L141" s="8" t="inlineStr"/>
    </row>
    <row r="142" ht="17" customHeight="1">
      <c r="A142" s="4" t="n">
        <v>138</v>
      </c>
      <c r="B142" s="4" t="inlineStr">
        <is>
          <t>NN-2516-L</t>
        </is>
      </c>
      <c r="C142" s="5" t="inlineStr">
        <is>
          <t>扭捏niunie 桑蚕丝真丝棉双层木耳花边领子贝壳扣 轻薄款黑色衬衫</t>
        </is>
      </c>
      <c r="D142" s="5" t="inlineStr">
        <is>
          <t>桑蚕丝棉黑色衬衫</t>
        </is>
      </c>
      <c r="E142" s="4" t="inlineStr">
        <is>
          <t>L</t>
        </is>
      </c>
      <c r="F142" s="6" t="n">
        <v>398</v>
      </c>
      <c r="G142" s="58" t="n">
        <v>6</v>
      </c>
      <c r="H142" s="58" t="n">
        <v>0</v>
      </c>
      <c r="I142" s="58" t="n">
        <v>0</v>
      </c>
      <c r="J142" s="46">
        <f>G142+H142-I142</f>
        <v/>
      </c>
      <c r="K142" s="21">
        <f>IF(J142=0,"🔴缺货",IF(J142&lt;=2,"🟡低库存","🟢正常"))</f>
        <v/>
      </c>
      <c r="L142" s="4" t="inlineStr"/>
    </row>
    <row r="143" ht="17" customHeight="1">
      <c r="A143" s="8" t="n">
        <v>139</v>
      </c>
      <c r="B143" s="8" t="inlineStr">
        <is>
          <t>NN-2516-M</t>
        </is>
      </c>
      <c r="C143" s="9" t="inlineStr">
        <is>
          <t>扭捏niunie 桑蚕丝真丝棉双层木耳花边领子贝壳扣 轻薄款黑色衬衫</t>
        </is>
      </c>
      <c r="D143" s="9" t="inlineStr">
        <is>
          <t>桑蚕丝棉黑色衬衫</t>
        </is>
      </c>
      <c r="E143" s="8" t="inlineStr">
        <is>
          <t>M</t>
        </is>
      </c>
      <c r="F143" s="10" t="n">
        <v>398</v>
      </c>
      <c r="G143" s="58" t="n">
        <v>3</v>
      </c>
      <c r="H143" s="58" t="n">
        <v>0</v>
      </c>
      <c r="I143" s="58" t="n">
        <v>0</v>
      </c>
      <c r="J143" s="46">
        <f>G143+H143-I143</f>
        <v/>
      </c>
      <c r="K143" s="21">
        <f>IF(J143=0,"🔴缺货",IF(J143&lt;=2,"🟡低库存","🟢正常"))</f>
        <v/>
      </c>
      <c r="L143" s="8" t="inlineStr"/>
    </row>
    <row r="144" ht="17" customHeight="1">
      <c r="A144" s="4" t="n">
        <v>140</v>
      </c>
      <c r="B144" s="4" t="inlineStr">
        <is>
          <t>NN-2516-S</t>
        </is>
      </c>
      <c r="C144" s="5" t="inlineStr">
        <is>
          <t>扭捏niunie 桑蚕丝真丝棉双层木耳花边领子贝壳扣 轻薄款黑色衬衫</t>
        </is>
      </c>
      <c r="D144" s="5" t="inlineStr">
        <is>
          <t>桑蚕丝棉黑色衬衫</t>
        </is>
      </c>
      <c r="E144" s="4" t="inlineStr">
        <is>
          <t>S</t>
        </is>
      </c>
      <c r="F144" s="6" t="n">
        <v>398</v>
      </c>
      <c r="G144" s="58" t="n">
        <v>6</v>
      </c>
      <c r="H144" s="58" t="n">
        <v>0</v>
      </c>
      <c r="I144" s="58" t="n">
        <v>0</v>
      </c>
      <c r="J144" s="46">
        <f>G144+H144-I144</f>
        <v/>
      </c>
      <c r="K144" s="21">
        <f>IF(J144=0,"🔴缺货",IF(J144&lt;=2,"🟡低库存","🟢正常"))</f>
        <v/>
      </c>
      <c r="L144" s="4" t="inlineStr"/>
    </row>
    <row r="145" ht="17" customHeight="1">
      <c r="A145" s="8" t="n">
        <v>141</v>
      </c>
      <c r="B145" s="8" t="inlineStr">
        <is>
          <t>NN2512L</t>
        </is>
      </c>
      <c r="C145" s="9" t="inlineStr">
        <is>
          <t>扭捏niunie「只此青绿」印花长款大裙摆设计感宽松慵懒半身裙纱裙</t>
        </is>
      </c>
      <c r="D145" s="9" t="inlineStr">
        <is>
          <t>只此青绿印花半裙</t>
        </is>
      </c>
      <c r="E145" s="8" t="inlineStr">
        <is>
          <t>L</t>
        </is>
      </c>
      <c r="F145" s="10" t="n">
        <v>398</v>
      </c>
      <c r="G145" s="58" t="n">
        <v>6</v>
      </c>
      <c r="H145" s="58" t="n">
        <v>0</v>
      </c>
      <c r="I145" s="58" t="n">
        <v>0</v>
      </c>
      <c r="J145" s="46">
        <f>G145+H145-I145</f>
        <v/>
      </c>
      <c r="K145" s="21">
        <f>IF(J145=0,"🔴缺货",IF(J145&lt;=2,"🟡低库存","🟢正常"))</f>
        <v/>
      </c>
      <c r="L145" s="8" t="inlineStr"/>
    </row>
    <row r="146" ht="17" customHeight="1">
      <c r="A146" s="4" t="n">
        <v>142</v>
      </c>
      <c r="B146" s="4" t="inlineStr">
        <is>
          <t>NN2512M</t>
        </is>
      </c>
      <c r="C146" s="5" t="inlineStr">
        <is>
          <t>扭捏niunie「只此青绿」印花长款大裙摆设计感宽松慵懒半身裙纱裙</t>
        </is>
      </c>
      <c r="D146" s="5" t="inlineStr">
        <is>
          <t>只此青绿印花半裙</t>
        </is>
      </c>
      <c r="E146" s="4" t="inlineStr">
        <is>
          <t>M</t>
        </is>
      </c>
      <c r="F146" s="6" t="n">
        <v>398</v>
      </c>
      <c r="G146" s="58" t="n">
        <v>4</v>
      </c>
      <c r="H146" s="58" t="n">
        <v>0</v>
      </c>
      <c r="I146" s="58" t="n">
        <v>0</v>
      </c>
      <c r="J146" s="46">
        <f>G146+H146-I146</f>
        <v/>
      </c>
      <c r="K146" s="21">
        <f>IF(J146=0,"🔴缺货",IF(J146&lt;=2,"🟡低库存","🟢正常"))</f>
        <v/>
      </c>
      <c r="L146" s="4" t="inlineStr"/>
    </row>
    <row r="147" ht="17" customHeight="1">
      <c r="A147" s="8" t="n">
        <v>143</v>
      </c>
      <c r="B147" s="8" t="inlineStr">
        <is>
          <t>NN2512S</t>
        </is>
      </c>
      <c r="C147" s="9" t="inlineStr">
        <is>
          <t>扭捏niunie「只此青绿」印花长款大裙摆设计感宽松慵懒半身裙纱裙</t>
        </is>
      </c>
      <c r="D147" s="9" t="inlineStr">
        <is>
          <t>只此青绿印花半裙</t>
        </is>
      </c>
      <c r="E147" s="8" t="inlineStr">
        <is>
          <t>S</t>
        </is>
      </c>
      <c r="F147" s="10" t="n">
        <v>398</v>
      </c>
      <c r="G147" s="58" t="n">
        <v>2</v>
      </c>
      <c r="H147" s="58" t="n">
        <v>0</v>
      </c>
      <c r="I147" s="58" t="n">
        <v>0</v>
      </c>
      <c r="J147" s="46">
        <f>G147+H147-I147</f>
        <v/>
      </c>
      <c r="K147" s="21">
        <f>IF(J147=0,"🔴缺货",IF(J147&lt;=2,"🟡低库存","🟢正常"))</f>
        <v/>
      </c>
      <c r="L147" s="8" t="inlineStr"/>
    </row>
    <row r="148" ht="17" customHeight="1">
      <c r="A148" s="4" t="n">
        <v>144</v>
      </c>
      <c r="B148" s="4" t="inlineStr">
        <is>
          <t>NN2511L</t>
        </is>
      </c>
      <c r="C148" s="5" t="inlineStr">
        <is>
          <t>扭捏niunie「掠影」小众设计感风琴褶皱贝壳扣印花衬衫宽松上衣</t>
        </is>
      </c>
      <c r="D148" s="5" t="inlineStr">
        <is>
          <t>风琴褶印花衬衫</t>
        </is>
      </c>
      <c r="E148" s="4" t="inlineStr">
        <is>
          <t>L</t>
        </is>
      </c>
      <c r="F148" s="6" t="n">
        <v>398</v>
      </c>
      <c r="G148" s="58" t="n">
        <v>4</v>
      </c>
      <c r="H148" s="58" t="n">
        <v>0</v>
      </c>
      <c r="I148" s="58" t="n">
        <v>0</v>
      </c>
      <c r="J148" s="46">
        <f>G148+H148-I148</f>
        <v/>
      </c>
      <c r="K148" s="21">
        <f>IF(J148=0,"🔴缺货",IF(J148&lt;=2,"🟡低库存","🟢正常"))</f>
        <v/>
      </c>
      <c r="L148" s="4" t="inlineStr"/>
    </row>
    <row r="149" ht="17" customHeight="1">
      <c r="A149" s="8" t="n">
        <v>145</v>
      </c>
      <c r="B149" s="8" t="inlineStr">
        <is>
          <t>NN2511M</t>
        </is>
      </c>
      <c r="C149" s="9" t="inlineStr">
        <is>
          <t>扭捏niunie「掠影」小众设计感风琴褶皱贝壳扣印花衬衫宽松上衣</t>
        </is>
      </c>
      <c r="D149" s="9" t="inlineStr">
        <is>
          <t>风琴褶印花衬衫</t>
        </is>
      </c>
      <c r="E149" s="8" t="inlineStr">
        <is>
          <t>M</t>
        </is>
      </c>
      <c r="F149" s="10" t="n">
        <v>398</v>
      </c>
      <c r="G149" s="58" t="n">
        <v>4</v>
      </c>
      <c r="H149" s="58" t="n">
        <v>0</v>
      </c>
      <c r="I149" s="58" t="n">
        <v>0</v>
      </c>
      <c r="J149" s="46">
        <f>G149+H149-I149</f>
        <v/>
      </c>
      <c r="K149" s="21">
        <f>IF(J149=0,"🔴缺货",IF(J149&lt;=2,"🟡低库存","🟢正常"))</f>
        <v/>
      </c>
      <c r="L149" s="8" t="inlineStr"/>
    </row>
    <row r="150" ht="17" customHeight="1">
      <c r="A150" s="4" t="n">
        <v>146</v>
      </c>
      <c r="B150" s="4" t="inlineStr">
        <is>
          <t>NN2511S</t>
        </is>
      </c>
      <c r="C150" s="5" t="inlineStr">
        <is>
          <t>扭捏niunie「掠影」小众设计感风琴褶皱贝壳扣印花衬衫宽松上衣</t>
        </is>
      </c>
      <c r="D150" s="5" t="inlineStr">
        <is>
          <t>风琴褶印花衬衫</t>
        </is>
      </c>
      <c r="E150" s="4" t="inlineStr">
        <is>
          <t>S</t>
        </is>
      </c>
      <c r="F150" s="6" t="n">
        <v>398</v>
      </c>
      <c r="G150" s="58" t="n">
        <v>3</v>
      </c>
      <c r="H150" s="58" t="n">
        <v>0</v>
      </c>
      <c r="I150" s="58" t="n">
        <v>0</v>
      </c>
      <c r="J150" s="46">
        <f>G150+H150-I150</f>
        <v/>
      </c>
      <c r="K150" s="21">
        <f>IF(J150=0,"🔴缺货",IF(J150&lt;=2,"🟡低库存","🟢正常"))</f>
        <v/>
      </c>
      <c r="L150" s="4" t="inlineStr"/>
    </row>
    <row r="151" ht="17" customHeight="1">
      <c r="A151" s="8" t="n">
        <v>147</v>
      </c>
      <c r="B151" s="8" t="inlineStr">
        <is>
          <t>NN2510L</t>
        </is>
      </c>
      <c r="C151" s="9" t="inlineStr">
        <is>
          <t>扭捏niunie「海盐柠檬」手缝扣拼接彩色格子半身裙宽松A字裙女</t>
        </is>
      </c>
      <c r="D151" s="9" t="inlineStr">
        <is>
          <t>手缝扣格子半身裙</t>
        </is>
      </c>
      <c r="E151" s="8" t="inlineStr">
        <is>
          <t>L</t>
        </is>
      </c>
      <c r="F151" s="10" t="n">
        <v>568</v>
      </c>
      <c r="G151" s="58" t="n">
        <v>4</v>
      </c>
      <c r="H151" s="58" t="n">
        <v>0</v>
      </c>
      <c r="I151" s="58" t="n">
        <v>0</v>
      </c>
      <c r="J151" s="46">
        <f>G151+H151-I151</f>
        <v/>
      </c>
      <c r="K151" s="21">
        <f>IF(J151=0,"🔴缺货",IF(J151&lt;=2,"🟡低库存","🟢正常"))</f>
        <v/>
      </c>
      <c r="L151" s="8" t="inlineStr"/>
    </row>
    <row r="152" ht="17" customHeight="1">
      <c r="A152" s="4" t="n">
        <v>148</v>
      </c>
      <c r="B152" s="4" t="inlineStr">
        <is>
          <t>NN2510M</t>
        </is>
      </c>
      <c r="C152" s="5" t="inlineStr">
        <is>
          <t>扭捏niunie「海盐柠檬」手缝扣拼接彩色格子半身裙宽松A字裙女</t>
        </is>
      </c>
      <c r="D152" s="5" t="inlineStr">
        <is>
          <t>手缝扣格子半身裙</t>
        </is>
      </c>
      <c r="E152" s="4" t="inlineStr">
        <is>
          <t>M</t>
        </is>
      </c>
      <c r="F152" s="6" t="n">
        <v>568</v>
      </c>
      <c r="G152" s="58" t="n">
        <v>1</v>
      </c>
      <c r="H152" s="58" t="n">
        <v>0</v>
      </c>
      <c r="I152" s="58" t="n">
        <v>0</v>
      </c>
      <c r="J152" s="46">
        <f>G152+H152-I152</f>
        <v/>
      </c>
      <c r="K152" s="21">
        <f>IF(J152=0,"🔴缺货",IF(J152&lt;=2,"🟡低库存","🟢正常"))</f>
        <v/>
      </c>
      <c r="L152" s="4" t="inlineStr"/>
    </row>
    <row r="153" ht="17" customHeight="1">
      <c r="A153" s="8" t="n">
        <v>149</v>
      </c>
      <c r="B153" s="8" t="inlineStr">
        <is>
          <t>NN2510S</t>
        </is>
      </c>
      <c r="C153" s="9" t="inlineStr">
        <is>
          <t>扭捏niunie「海盐柠檬」手缝扣拼接彩色格子半身裙宽松A字裙女</t>
        </is>
      </c>
      <c r="D153" s="9" t="inlineStr">
        <is>
          <t>手缝扣格子半身裙</t>
        </is>
      </c>
      <c r="E153" s="8" t="inlineStr">
        <is>
          <t>S</t>
        </is>
      </c>
      <c r="F153" s="10" t="n">
        <v>568</v>
      </c>
      <c r="G153" s="58" t="n">
        <v>0</v>
      </c>
      <c r="H153" s="58" t="n">
        <v>0</v>
      </c>
      <c r="I153" s="58" t="n">
        <v>0</v>
      </c>
      <c r="J153" s="46">
        <f>G153+H153-I153</f>
        <v/>
      </c>
      <c r="K153" s="21">
        <f>IF(J153=0,"🔴缺货",IF(J153&lt;=2,"🟡低库存","🟢正常"))</f>
        <v/>
      </c>
      <c r="L153" s="8" t="inlineStr"/>
    </row>
    <row r="154" ht="17" customHeight="1">
      <c r="A154" s="4" t="n">
        <v>150</v>
      </c>
      <c r="B154" s="4" t="inlineStr">
        <is>
          <t>NN251BL</t>
        </is>
      </c>
      <c r="C154" s="5" t="inlineStr">
        <is>
          <t>扭捏niunie「夏雪」浅蓝色大摆纱裙灵动百搭半身裙伞裙夏季新款</t>
        </is>
      </c>
      <c r="D154" s="5" t="inlineStr">
        <is>
          <t>浅蓝色雪花纱裙</t>
        </is>
      </c>
      <c r="E154" s="4" t="inlineStr">
        <is>
          <t>L</t>
        </is>
      </c>
      <c r="F154" s="6" t="n">
        <v>498</v>
      </c>
      <c r="G154" s="58" t="n">
        <v>0</v>
      </c>
      <c r="H154" s="58" t="n">
        <v>0</v>
      </c>
      <c r="I154" s="58" t="n">
        <v>0</v>
      </c>
      <c r="J154" s="46">
        <f>G154+H154-I154</f>
        <v/>
      </c>
      <c r="K154" s="21">
        <f>IF(J154=0,"🔴缺货",IF(J154&lt;=2,"🟡低库存","🟢正常"))</f>
        <v/>
      </c>
      <c r="L154" s="4" t="inlineStr"/>
    </row>
    <row r="155" ht="17" customHeight="1">
      <c r="A155" s="8" t="n">
        <v>151</v>
      </c>
      <c r="B155" s="8" t="inlineStr">
        <is>
          <t>NN251BM</t>
        </is>
      </c>
      <c r="C155" s="9" t="inlineStr">
        <is>
          <t>扭捏niunie「夏雪」浅蓝色大摆纱裙灵动百搭半身裙伞裙夏季新款</t>
        </is>
      </c>
      <c r="D155" s="9" t="inlineStr">
        <is>
          <t>浅蓝色雪花纱裙</t>
        </is>
      </c>
      <c r="E155" s="8" t="inlineStr">
        <is>
          <t>M</t>
        </is>
      </c>
      <c r="F155" s="10" t="n">
        <v>498</v>
      </c>
      <c r="G155" s="58" t="n">
        <v>0</v>
      </c>
      <c r="H155" s="58" t="n">
        <v>0</v>
      </c>
      <c r="I155" s="58" t="n">
        <v>0</v>
      </c>
      <c r="J155" s="46">
        <f>G155+H155-I155</f>
        <v/>
      </c>
      <c r="K155" s="21">
        <f>IF(J155=0,"🔴缺货",IF(J155&lt;=2,"🟡低库存","🟢正常"))</f>
        <v/>
      </c>
      <c r="L155" s="8" t="inlineStr"/>
    </row>
    <row r="156" ht="17" customHeight="1">
      <c r="A156" s="4" t="n">
        <v>152</v>
      </c>
      <c r="B156" s="4" t="inlineStr">
        <is>
          <t>NN251BS</t>
        </is>
      </c>
      <c r="C156" s="5" t="inlineStr">
        <is>
          <t>扭捏niunie「夏雪」浅蓝色大摆纱裙灵动百搭半身裙伞裙夏季新款</t>
        </is>
      </c>
      <c r="D156" s="5" t="inlineStr">
        <is>
          <t>浅蓝色雪花纱裙</t>
        </is>
      </c>
      <c r="E156" s="4" t="inlineStr">
        <is>
          <t>S</t>
        </is>
      </c>
      <c r="F156" s="6" t="n">
        <v>498</v>
      </c>
      <c r="G156" s="58" t="n">
        <v>0</v>
      </c>
      <c r="H156" s="58" t="n">
        <v>0</v>
      </c>
      <c r="I156" s="58" t="n">
        <v>0</v>
      </c>
      <c r="J156" s="46">
        <f>G156+H156-I156</f>
        <v/>
      </c>
      <c r="K156" s="21">
        <f>IF(J156=0,"🔴缺货",IF(J156&lt;=2,"🟡低库存","🟢正常"))</f>
        <v/>
      </c>
      <c r="L156" s="4" t="inlineStr"/>
    </row>
    <row r="157" ht="17" customHeight="1">
      <c r="A157" s="8" t="n">
        <v>153</v>
      </c>
      <c r="B157" s="8" t="inlineStr">
        <is>
          <t>NN2517L</t>
        </is>
      </c>
      <c r="C157" s="9" t="inlineStr">
        <is>
          <t>扭捏niunie 小雪花翻领设计感简约气质高级感白色无袖衬衫上衣女</t>
        </is>
      </c>
      <c r="D157" s="9" t="inlineStr">
        <is>
          <t>白色雪花无袖衬衫</t>
        </is>
      </c>
      <c r="E157" s="8" t="inlineStr">
        <is>
          <t>L</t>
        </is>
      </c>
      <c r="F157" s="10" t="n">
        <v>428</v>
      </c>
      <c r="G157" s="58" t="n">
        <v>4</v>
      </c>
      <c r="H157" s="58" t="n">
        <v>0</v>
      </c>
      <c r="I157" s="58" t="n">
        <v>0</v>
      </c>
      <c r="J157" s="46">
        <f>G157+H157-I157</f>
        <v/>
      </c>
      <c r="K157" s="21">
        <f>IF(J157=0,"🔴缺货",IF(J157&lt;=2,"🟡低库存","🟢正常"))</f>
        <v/>
      </c>
      <c r="L157" s="8" t="inlineStr"/>
    </row>
    <row r="158" ht="17" customHeight="1">
      <c r="A158" s="4" t="n">
        <v>154</v>
      </c>
      <c r="B158" s="4" t="inlineStr">
        <is>
          <t>NN2517M</t>
        </is>
      </c>
      <c r="C158" s="5" t="inlineStr">
        <is>
          <t>扭捏niunie 小雪花翻领设计感简约气质高级感白色无袖衬衫上衣女</t>
        </is>
      </c>
      <c r="D158" s="5" t="inlineStr">
        <is>
          <t>白色雪花无袖衬衫</t>
        </is>
      </c>
      <c r="E158" s="4" t="inlineStr">
        <is>
          <t>M</t>
        </is>
      </c>
      <c r="F158" s="6" t="n">
        <v>428</v>
      </c>
      <c r="G158" s="58" t="n">
        <v>7</v>
      </c>
      <c r="H158" s="58" t="n">
        <v>0</v>
      </c>
      <c r="I158" s="58" t="n">
        <v>0</v>
      </c>
      <c r="J158" s="46">
        <f>G158+H158-I158</f>
        <v/>
      </c>
      <c r="K158" s="21">
        <f>IF(J158=0,"🔴缺货",IF(J158&lt;=2,"🟡低库存","🟢正常"))</f>
        <v/>
      </c>
      <c r="L158" s="4" t="inlineStr"/>
    </row>
    <row r="159" ht="17" customHeight="1">
      <c r="A159" s="8" t="n">
        <v>155</v>
      </c>
      <c r="B159" s="8" t="inlineStr">
        <is>
          <t>NN2517S</t>
        </is>
      </c>
      <c r="C159" s="9" t="inlineStr">
        <is>
          <t>扭捏niunie 小雪花翻领设计感简约气质高级感白色无袖衬衫上衣女</t>
        </is>
      </c>
      <c r="D159" s="9" t="inlineStr">
        <is>
          <t>白色雪花无袖衬衫</t>
        </is>
      </c>
      <c r="E159" s="8" t="inlineStr">
        <is>
          <t>S</t>
        </is>
      </c>
      <c r="F159" s="10" t="n">
        <v>428</v>
      </c>
      <c r="G159" s="58" t="n">
        <v>3</v>
      </c>
      <c r="H159" s="58" t="n">
        <v>0</v>
      </c>
      <c r="I159" s="58" t="n">
        <v>0</v>
      </c>
      <c r="J159" s="46">
        <f>G159+H159-I159</f>
        <v/>
      </c>
      <c r="K159" s="21">
        <f>IF(J159=0,"🔴缺货",IF(J159&lt;=2,"🟡低库存","🟢正常"))</f>
        <v/>
      </c>
      <c r="L159" s="8" t="inlineStr"/>
    </row>
    <row r="160" ht="17" customHeight="1">
      <c r="A160" s="4" t="n">
        <v>156</v>
      </c>
      <c r="B160" s="4" t="inlineStr">
        <is>
          <t>NN2513M</t>
        </is>
      </c>
      <c r="C160" s="5" t="inlineStr">
        <is>
          <t>niunie 青苹果印花绿色醋酸褶皱两面穿显瘦松紧腰半身裙小a一步裙</t>
        </is>
      </c>
      <c r="D160" s="5" t="inlineStr">
        <is>
          <t>青苹果 醋酸两面穿半裙</t>
        </is>
      </c>
      <c r="E160" s="4" t="inlineStr">
        <is>
          <t>M</t>
        </is>
      </c>
      <c r="F160" s="6" t="n">
        <v>468</v>
      </c>
      <c r="G160" s="58" t="n">
        <v>7</v>
      </c>
      <c r="H160" s="58" t="n">
        <v>0</v>
      </c>
      <c r="I160" s="58" t="n">
        <v>0</v>
      </c>
      <c r="J160" s="46">
        <f>G160+H160-I160</f>
        <v/>
      </c>
      <c r="K160" s="21">
        <f>IF(J160=0,"🔴缺货",IF(J160&lt;=2,"🟡低库存","🟢正常"))</f>
        <v/>
      </c>
      <c r="L160" s="4" t="inlineStr"/>
    </row>
    <row r="161" ht="17" customHeight="1">
      <c r="A161" s="8" t="n">
        <v>157</v>
      </c>
      <c r="B161" s="8" t="inlineStr">
        <is>
          <t>NN2513S</t>
        </is>
      </c>
      <c r="C161" s="9" t="inlineStr">
        <is>
          <t>niunie 青苹果印花绿色醋酸褶皱两面穿显瘦松紧腰半身裙小a一步裙</t>
        </is>
      </c>
      <c r="D161" s="9" t="inlineStr">
        <is>
          <t>青苹果 醋酸两面穿半裙</t>
        </is>
      </c>
      <c r="E161" s="8" t="inlineStr">
        <is>
          <t>S</t>
        </is>
      </c>
      <c r="F161" s="10" t="n">
        <v>468</v>
      </c>
      <c r="G161" s="58" t="n">
        <v>0</v>
      </c>
      <c r="H161" s="58" t="n">
        <v>0</v>
      </c>
      <c r="I161" s="58" t="n">
        <v>0</v>
      </c>
      <c r="J161" s="46">
        <f>G161+H161-I161</f>
        <v/>
      </c>
      <c r="K161" s="21">
        <f>IF(J161=0,"🔴缺货",IF(J161&lt;=2,"🟡低库存","🟢正常"))</f>
        <v/>
      </c>
      <c r="L161" s="8" t="inlineStr"/>
    </row>
    <row r="162" ht="17" customHeight="1">
      <c r="A162" s="4" t="n">
        <v>158</v>
      </c>
      <c r="B162" s="4" t="inlineStr"/>
      <c r="C162" s="5" t="inlineStr">
        <is>
          <t>扭捏 限量款 羊毛亚麻混纺西装外套 日本进口面料</t>
        </is>
      </c>
      <c r="D162" s="5" t="inlineStr">
        <is>
          <t>羊毛亚麻西装外套</t>
        </is>
      </c>
      <c r="E162" s="4" t="inlineStr">
        <is>
          <t>L</t>
        </is>
      </c>
      <c r="F162" s="6" t="n">
        <v>899</v>
      </c>
      <c r="G162" s="58" t="n">
        <v>0</v>
      </c>
      <c r="H162" s="58" t="n">
        <v>0</v>
      </c>
      <c r="I162" s="58" t="n">
        <v>0</v>
      </c>
      <c r="J162" s="46">
        <f>G162+H162-I162</f>
        <v/>
      </c>
      <c r="K162" s="21">
        <f>IF(J162=0,"🔴缺货",IF(J162&lt;=2,"🟡低库存","🟢正常"))</f>
        <v/>
      </c>
      <c r="L162" s="4" t="inlineStr"/>
    </row>
    <row r="163" ht="17" customHeight="1">
      <c r="A163" s="8" t="n">
        <v>159</v>
      </c>
      <c r="B163" s="8" t="inlineStr"/>
      <c r="C163" s="9" t="inlineStr">
        <is>
          <t>扭捏 限量款 羊毛亚麻混纺西装外套 日本进口面料</t>
        </is>
      </c>
      <c r="D163" s="9" t="inlineStr">
        <is>
          <t>羊毛亚麻西装外套</t>
        </is>
      </c>
      <c r="E163" s="8" t="inlineStr">
        <is>
          <t>M</t>
        </is>
      </c>
      <c r="F163" s="10" t="n">
        <v>899</v>
      </c>
      <c r="G163" s="58" t="n">
        <v>3</v>
      </c>
      <c r="H163" s="58" t="n">
        <v>0</v>
      </c>
      <c r="I163" s="58" t="n">
        <v>0</v>
      </c>
      <c r="J163" s="46">
        <f>G163+H163-I163</f>
        <v/>
      </c>
      <c r="K163" s="21">
        <f>IF(J163=0,"🔴缺货",IF(J163&lt;=2,"🟡低库存","🟢正常"))</f>
        <v/>
      </c>
      <c r="L163" s="8" t="inlineStr"/>
    </row>
    <row r="164" ht="17" customHeight="1">
      <c r="A164" s="4" t="n">
        <v>160</v>
      </c>
      <c r="B164" s="4" t="inlineStr"/>
      <c r="C164" s="5" t="inlineStr">
        <is>
          <t>扭捏 限量款 羊毛亚麻混纺西装外套 日本进口面料</t>
        </is>
      </c>
      <c r="D164" s="5" t="inlineStr">
        <is>
          <t>羊毛亚麻西装外套</t>
        </is>
      </c>
      <c r="E164" s="4" t="inlineStr">
        <is>
          <t>S</t>
        </is>
      </c>
      <c r="F164" s="6" t="n">
        <v>899</v>
      </c>
      <c r="G164" s="58" t="n">
        <v>3</v>
      </c>
      <c r="H164" s="58" t="n">
        <v>0</v>
      </c>
      <c r="I164" s="58" t="n">
        <v>0</v>
      </c>
      <c r="J164" s="46">
        <f>G164+H164-I164</f>
        <v/>
      </c>
      <c r="K164" s="21">
        <f>IF(J164=0,"🔴缺货",IF(J164&lt;=2,"🟡低库存","🟢正常"))</f>
        <v/>
      </c>
      <c r="L164" s="4" t="inlineStr"/>
    </row>
    <row r="165" ht="17" customHeight="1">
      <c r="A165" s="8" t="n">
        <v>161</v>
      </c>
      <c r="B165" s="8" t="inlineStr">
        <is>
          <t>TNW-1066-灰格L</t>
        </is>
      </c>
      <c r="C165" s="9" t="inlineStr">
        <is>
          <t>扭捏 灰色羊毛混纺 复古vintage感棕色格子短裙百褶裙秋冬</t>
        </is>
      </c>
      <c r="D165" s="9" t="inlineStr">
        <is>
          <t>灰色毛呢短裙</t>
        </is>
      </c>
      <c r="E165" s="8" t="inlineStr">
        <is>
          <t>L</t>
        </is>
      </c>
      <c r="F165" s="10" t="n">
        <v>319</v>
      </c>
      <c r="G165" s="58" t="n">
        <v>3</v>
      </c>
      <c r="H165" s="58" t="n">
        <v>0</v>
      </c>
      <c r="I165" s="58" t="n">
        <v>0</v>
      </c>
      <c r="J165" s="46">
        <f>G165+H165-I165</f>
        <v/>
      </c>
      <c r="K165" s="21">
        <f>IF(J165=0,"🔴缺货",IF(J165&lt;=2,"🟡低库存","🟢正常"))</f>
        <v/>
      </c>
      <c r="L165" s="8" t="inlineStr"/>
    </row>
    <row r="166" ht="17" customHeight="1">
      <c r="A166" s="4" t="n">
        <v>162</v>
      </c>
      <c r="B166" s="4" t="inlineStr">
        <is>
          <t>TNW-1066-棕格L</t>
        </is>
      </c>
      <c r="C166" s="5" t="inlineStr">
        <is>
          <t>扭捏 灰色羊毛混纺 复古vintage感棕色格子短裙百褶裙秋冬</t>
        </is>
      </c>
      <c r="D166" s="5" t="inlineStr">
        <is>
          <t>棕色格子短裙</t>
        </is>
      </c>
      <c r="E166" s="4" t="inlineStr">
        <is>
          <t>L</t>
        </is>
      </c>
      <c r="F166" s="6" t="n">
        <v>319</v>
      </c>
      <c r="G166" s="58" t="n">
        <v>19</v>
      </c>
      <c r="H166" s="58" t="n">
        <v>0</v>
      </c>
      <c r="I166" s="58" t="n">
        <v>0</v>
      </c>
      <c r="J166" s="46">
        <f>G166+H166-I166</f>
        <v/>
      </c>
      <c r="K166" s="21">
        <f>IF(J166=0,"🔴缺货",IF(J166&lt;=2,"🟡低库存","🟢正常"))</f>
        <v/>
      </c>
      <c r="L166" s="4" t="inlineStr"/>
    </row>
    <row r="167" ht="17" customHeight="1">
      <c r="A167" s="8" t="n">
        <v>163</v>
      </c>
      <c r="B167" s="8" t="inlineStr">
        <is>
          <t>TNW-1011-灰M</t>
        </is>
      </c>
      <c r="C167" s="9" t="inlineStr">
        <is>
          <t>扭捏 宽松舒适羊毛混纺休闲裤 复古松弛感高腰阔腿长裤 可机洗</t>
        </is>
      </c>
      <c r="D167" s="9" t="inlineStr">
        <is>
          <t>深灰色阔腿长裤</t>
        </is>
      </c>
      <c r="E167" s="8" t="inlineStr">
        <is>
          <t>M</t>
        </is>
      </c>
      <c r="F167" s="10" t="n">
        <v>359</v>
      </c>
      <c r="G167" s="58" t="n">
        <v>10</v>
      </c>
      <c r="H167" s="58" t="n">
        <v>0</v>
      </c>
      <c r="I167" s="58" t="n">
        <v>0</v>
      </c>
      <c r="J167" s="46">
        <f>G167+H167-I167</f>
        <v/>
      </c>
      <c r="K167" s="21">
        <f>IF(J167=0,"🔴缺货",IF(J167&lt;=2,"🟡低库存","🟢正常"))</f>
        <v/>
      </c>
      <c r="L167" s="8" t="inlineStr"/>
    </row>
    <row r="168" ht="17" customHeight="1">
      <c r="A168" s="4" t="n">
        <v>164</v>
      </c>
      <c r="B168" s="4" t="inlineStr">
        <is>
          <t>TNW-1011-灰S</t>
        </is>
      </c>
      <c r="C168" s="5" t="inlineStr">
        <is>
          <t>扭捏 宽松舒适羊毛混纺休闲裤 复古松弛感高腰阔腿长裤 可机洗</t>
        </is>
      </c>
      <c r="D168" s="5" t="inlineStr">
        <is>
          <t>深灰色阔腿长裤</t>
        </is>
      </c>
      <c r="E168" s="4" t="inlineStr">
        <is>
          <t>S</t>
        </is>
      </c>
      <c r="F168" s="6" t="n">
        <v>359</v>
      </c>
      <c r="G168" s="58" t="n">
        <v>10</v>
      </c>
      <c r="H168" s="58" t="n">
        <v>0</v>
      </c>
      <c r="I168" s="58" t="n">
        <v>0</v>
      </c>
      <c r="J168" s="46">
        <f>G168+H168-I168</f>
        <v/>
      </c>
      <c r="K168" s="21">
        <f>IF(J168=0,"🔴缺货",IF(J168&lt;=2,"🟡低库存","🟢正常"))</f>
        <v/>
      </c>
      <c r="L168" s="4" t="inlineStr"/>
    </row>
    <row r="169" ht="17" customHeight="1">
      <c r="A169" s="8" t="n">
        <v>165</v>
      </c>
      <c r="B169" s="8" t="inlineStr">
        <is>
          <t>TNW-1066-灰格M</t>
        </is>
      </c>
      <c r="C169" s="9" t="inlineStr">
        <is>
          <t>扭捏 灰色羊毛混纺 复古vintage感棕色格子短裙百褶裙秋冬</t>
        </is>
      </c>
      <c r="D169" s="9" t="inlineStr">
        <is>
          <t>灰色毛呢短裙</t>
        </is>
      </c>
      <c r="E169" s="8" t="inlineStr">
        <is>
          <t>M</t>
        </is>
      </c>
      <c r="F169" s="10" t="n">
        <v>319</v>
      </c>
      <c r="G169" s="58" t="n">
        <v>3</v>
      </c>
      <c r="H169" s="58" t="n">
        <v>0</v>
      </c>
      <c r="I169" s="58" t="n">
        <v>0</v>
      </c>
      <c r="J169" s="46">
        <f>G169+H169-I169</f>
        <v/>
      </c>
      <c r="K169" s="21">
        <f>IF(J169=0,"🔴缺货",IF(J169&lt;=2,"🟡低库存","🟢正常"))</f>
        <v/>
      </c>
      <c r="L169" s="8" t="inlineStr"/>
    </row>
    <row r="170" ht="17" customHeight="1">
      <c r="A170" s="4" t="n">
        <v>166</v>
      </c>
      <c r="B170" s="4" t="inlineStr">
        <is>
          <t>TNW-1066-灰格S</t>
        </is>
      </c>
      <c r="C170" s="5" t="inlineStr">
        <is>
          <t>扭捏 灰色羊毛混纺 复古vintage感棕色格子短裙百褶裙秋冬</t>
        </is>
      </c>
      <c r="D170" s="5" t="inlineStr">
        <is>
          <t>灰色毛呢短裙</t>
        </is>
      </c>
      <c r="E170" s="4" t="inlineStr">
        <is>
          <t>S</t>
        </is>
      </c>
      <c r="F170" s="6" t="n">
        <v>319</v>
      </c>
      <c r="G170" s="58" t="n">
        <v>3</v>
      </c>
      <c r="H170" s="58" t="n">
        <v>0</v>
      </c>
      <c r="I170" s="58" t="n">
        <v>0</v>
      </c>
      <c r="J170" s="46">
        <f>G170+H170-I170</f>
        <v/>
      </c>
      <c r="K170" s="21">
        <f>IF(J170=0,"🔴缺货",IF(J170&lt;=2,"🟡低库存","🟢正常"))</f>
        <v/>
      </c>
      <c r="L170" s="4" t="inlineStr"/>
    </row>
    <row r="171" ht="17" customHeight="1">
      <c r="A171" s="8" t="n">
        <v>167</v>
      </c>
      <c r="B171" s="8" t="inlineStr">
        <is>
          <t>TNW-1066-棕格M</t>
        </is>
      </c>
      <c r="C171" s="9" t="inlineStr">
        <is>
          <t>扭捏 灰色羊毛混纺 复古vintage感棕色格子短裙百褶裙秋冬</t>
        </is>
      </c>
      <c r="D171" s="9" t="inlineStr">
        <is>
          <t>棕色格子短裙</t>
        </is>
      </c>
      <c r="E171" s="8" t="inlineStr">
        <is>
          <t>M</t>
        </is>
      </c>
      <c r="F171" s="10" t="n">
        <v>319</v>
      </c>
      <c r="G171" s="58" t="n">
        <v>10</v>
      </c>
      <c r="H171" s="58" t="n">
        <v>0</v>
      </c>
      <c r="I171" s="58" t="n">
        <v>0</v>
      </c>
      <c r="J171" s="46">
        <f>G171+H171-I171</f>
        <v/>
      </c>
      <c r="K171" s="21">
        <f>IF(J171=0,"🔴缺货",IF(J171&lt;=2,"🟡低库存","🟢正常"))</f>
        <v/>
      </c>
      <c r="L171" s="8" t="inlineStr"/>
    </row>
    <row r="172" ht="17" customHeight="1">
      <c r="A172" s="4" t="n">
        <v>168</v>
      </c>
      <c r="B172" s="4" t="inlineStr">
        <is>
          <t>TNW-1066-棕格S</t>
        </is>
      </c>
      <c r="C172" s="5" t="inlineStr">
        <is>
          <t>扭捏 灰色羊毛混纺 复古vintage感棕色格子短裙百褶裙秋冬</t>
        </is>
      </c>
      <c r="D172" s="5" t="inlineStr">
        <is>
          <t>棕色格子短裙</t>
        </is>
      </c>
      <c r="E172" s="4" t="inlineStr">
        <is>
          <t>S</t>
        </is>
      </c>
      <c r="F172" s="6" t="n">
        <v>319</v>
      </c>
      <c r="G172" s="58" t="n">
        <v>10</v>
      </c>
      <c r="H172" s="58" t="n">
        <v>0</v>
      </c>
      <c r="I172" s="58" t="n">
        <v>0</v>
      </c>
      <c r="J172" s="46">
        <f>G172+H172-I172</f>
        <v/>
      </c>
      <c r="K172" s="21">
        <f>IF(J172=0,"🔴缺货",IF(J172&lt;=2,"🟡低库存","🟢正常"))</f>
        <v/>
      </c>
      <c r="L172" s="4" t="inlineStr"/>
    </row>
    <row r="173" ht="17" customHeight="1">
      <c r="A173" s="8" t="n">
        <v>169</v>
      </c>
      <c r="B173" s="8" t="inlineStr">
        <is>
          <t>TNW-1015-M</t>
        </is>
      </c>
      <c r="C173" s="9" t="inlineStr">
        <is>
          <t>扭捏 100%全羊毛日系少女复古娃娃领外套半身裙套装 英国陶瓷扣</t>
        </is>
      </c>
      <c r="D173" s="9" t="inlineStr">
        <is>
          <t>灰色毛呢半身裙</t>
        </is>
      </c>
      <c r="E173" s="8" t="inlineStr">
        <is>
          <t>M</t>
        </is>
      </c>
      <c r="F173" s="10" t="n">
        <v>499</v>
      </c>
      <c r="G173" s="58" t="n">
        <v>6</v>
      </c>
      <c r="H173" s="58" t="n">
        <v>0</v>
      </c>
      <c r="I173" s="58" t="n">
        <v>0</v>
      </c>
      <c r="J173" s="46">
        <f>G173+H173-I173</f>
        <v/>
      </c>
      <c r="K173" s="21">
        <f>IF(J173=0,"🔴缺货",IF(J173&lt;=2,"🟡低库存","🟢正常"))</f>
        <v/>
      </c>
      <c r="L173" s="8" t="inlineStr"/>
    </row>
    <row r="174" ht="17" customHeight="1">
      <c r="A174" s="4" t="n">
        <v>170</v>
      </c>
      <c r="B174" s="4" t="inlineStr">
        <is>
          <t>TNW-1015-S</t>
        </is>
      </c>
      <c r="C174" s="5" t="inlineStr">
        <is>
          <t>扭捏 100%全羊毛日系少女复古娃娃领外套半身裙套装 英国陶瓷扣</t>
        </is>
      </c>
      <c r="D174" s="5" t="inlineStr">
        <is>
          <t>灰色毛呢半身裙</t>
        </is>
      </c>
      <c r="E174" s="4" t="inlineStr">
        <is>
          <t>S</t>
        </is>
      </c>
      <c r="F174" s="6" t="n">
        <v>499</v>
      </c>
      <c r="G174" s="58" t="n">
        <v>1</v>
      </c>
      <c r="H174" s="58" t="n">
        <v>0</v>
      </c>
      <c r="I174" s="58" t="n">
        <v>0</v>
      </c>
      <c r="J174" s="46">
        <f>G174+H174-I174</f>
        <v/>
      </c>
      <c r="K174" s="21">
        <f>IF(J174=0,"🔴缺货",IF(J174&lt;=2,"🟡低库存","🟢正常"))</f>
        <v/>
      </c>
      <c r="L174" s="4" t="inlineStr"/>
    </row>
    <row r="175" ht="17" customHeight="1">
      <c r="A175" s="8" t="n">
        <v>171</v>
      </c>
      <c r="B175" s="8" t="inlineStr">
        <is>
          <t>TNW-1038-M</t>
        </is>
      </c>
      <c r="C175" s="9" t="inlineStr">
        <is>
          <t>扭捏 100%全羊毛日系少女复古娃娃领外套半身裙套装 英国陶瓷扣</t>
        </is>
      </c>
      <c r="D175" s="9" t="inlineStr">
        <is>
          <t>娃娃领毛呢外套</t>
        </is>
      </c>
      <c r="E175" s="8" t="inlineStr">
        <is>
          <t>M</t>
        </is>
      </c>
      <c r="F175" s="10" t="n">
        <v>799</v>
      </c>
      <c r="G175" s="58" t="n">
        <v>5</v>
      </c>
      <c r="H175" s="58" t="n">
        <v>0</v>
      </c>
      <c r="I175" s="58" t="n">
        <v>0</v>
      </c>
      <c r="J175" s="46">
        <f>G175+H175-I175</f>
        <v/>
      </c>
      <c r="K175" s="21">
        <f>IF(J175=0,"🔴缺货",IF(J175&lt;=2,"🟡低库存","🟢正常"))</f>
        <v/>
      </c>
      <c r="L175" s="8" t="inlineStr"/>
    </row>
    <row r="176" ht="17" customHeight="1">
      <c r="A176" s="4" t="n">
        <v>172</v>
      </c>
      <c r="B176" s="4" t="inlineStr">
        <is>
          <t>TNW-1038-S</t>
        </is>
      </c>
      <c r="C176" s="5" t="inlineStr">
        <is>
          <t>扭捏 100%全羊毛日系少女复古娃娃领外套半身裙套装 英国陶瓷扣</t>
        </is>
      </c>
      <c r="D176" s="5" t="inlineStr">
        <is>
          <t>娃娃领毛呢外套</t>
        </is>
      </c>
      <c r="E176" s="4" t="inlineStr">
        <is>
          <t>S</t>
        </is>
      </c>
      <c r="F176" s="6" t="n">
        <v>799</v>
      </c>
      <c r="G176" s="58" t="n">
        <v>13</v>
      </c>
      <c r="H176" s="58" t="n">
        <v>0</v>
      </c>
      <c r="I176" s="58" t="n">
        <v>0</v>
      </c>
      <c r="J176" s="46">
        <f>G176+H176-I176</f>
        <v/>
      </c>
      <c r="K176" s="21">
        <f>IF(J176=0,"🔴缺货",IF(J176&lt;=2,"🟡低库存","🟢正常"))</f>
        <v/>
      </c>
      <c r="L176" s="4" t="inlineStr"/>
    </row>
    <row r="177" ht="17" customHeight="1">
      <c r="A177" s="8" t="n">
        <v>173</v>
      </c>
      <c r="B177" s="8" t="inlineStr">
        <is>
          <t>TNW-0902-M</t>
        </is>
      </c>
      <c r="C177" s="9" t="inlineStr">
        <is>
          <t>扭捏 棕绿色质感显瘦 100%全羊毛呢外套半裙</t>
        </is>
      </c>
      <c r="D177" s="9" t="inlineStr">
        <is>
          <t>双层碎花毛呢半裙</t>
        </is>
      </c>
      <c r="E177" s="8" t="inlineStr">
        <is>
          <t>M</t>
        </is>
      </c>
      <c r="F177" s="10" t="n">
        <v>459</v>
      </c>
      <c r="G177" s="58" t="n">
        <v>2</v>
      </c>
      <c r="H177" s="58" t="n">
        <v>0</v>
      </c>
      <c r="I177" s="58" t="n">
        <v>0</v>
      </c>
      <c r="J177" s="46">
        <f>G177+H177-I177</f>
        <v/>
      </c>
      <c r="K177" s="21">
        <f>IF(J177=0,"🔴缺货",IF(J177&lt;=2,"🟡低库存","🟢正常"))</f>
        <v/>
      </c>
      <c r="L177" s="8" t="inlineStr"/>
    </row>
    <row r="178" ht="17" customHeight="1">
      <c r="A178" s="4" t="n">
        <v>174</v>
      </c>
      <c r="B178" s="4" t="inlineStr">
        <is>
          <t>TNW-0902-S</t>
        </is>
      </c>
      <c r="C178" s="5" t="inlineStr">
        <is>
          <t>扭捏 棕绿色质感显瘦 100%全羊毛呢外套半裙</t>
        </is>
      </c>
      <c r="D178" s="5" t="inlineStr">
        <is>
          <t>双层碎花毛呢半裙</t>
        </is>
      </c>
      <c r="E178" s="4" t="inlineStr">
        <is>
          <t>S</t>
        </is>
      </c>
      <c r="F178" s="6" t="n">
        <v>459</v>
      </c>
      <c r="G178" s="58" t="n">
        <v>2</v>
      </c>
      <c r="H178" s="58" t="n">
        <v>0</v>
      </c>
      <c r="I178" s="58" t="n">
        <v>0</v>
      </c>
      <c r="J178" s="46">
        <f>G178+H178-I178</f>
        <v/>
      </c>
      <c r="K178" s="21">
        <f>IF(J178=0,"🔴缺货",IF(J178&lt;=2,"🟡低库存","🟢正常"))</f>
        <v/>
      </c>
      <c r="L178" s="4" t="inlineStr"/>
    </row>
    <row r="179" ht="17" customHeight="1">
      <c r="A179" s="8" t="n">
        <v>175</v>
      </c>
      <c r="B179" s="8" t="inlineStr">
        <is>
          <t>TNW-0928-M</t>
        </is>
      </c>
      <c r="C179" s="9" t="inlineStr">
        <is>
          <t>扭捏 棕绿色质感显瘦 100%全羊毛呢外套半裙</t>
        </is>
      </c>
      <c r="D179" s="9" t="inlineStr">
        <is>
          <t>修身毛呢外套</t>
        </is>
      </c>
      <c r="E179" s="8" t="inlineStr">
        <is>
          <t>M</t>
        </is>
      </c>
      <c r="F179" s="10" t="n">
        <v>759</v>
      </c>
      <c r="G179" s="58" t="n">
        <v>0</v>
      </c>
      <c r="H179" s="58" t="n">
        <v>0</v>
      </c>
      <c r="I179" s="58" t="n">
        <v>0</v>
      </c>
      <c r="J179" s="46">
        <f>G179+H179-I179</f>
        <v/>
      </c>
      <c r="K179" s="21">
        <f>IF(J179=0,"🔴缺货",IF(J179&lt;=2,"🟡低库存","🟢正常"))</f>
        <v/>
      </c>
      <c r="L179" s="8" t="inlineStr"/>
    </row>
    <row r="180" ht="17" customHeight="1">
      <c r="A180" s="4" t="n">
        <v>176</v>
      </c>
      <c r="B180" s="4" t="inlineStr">
        <is>
          <t>TNW-0928-S</t>
        </is>
      </c>
      <c r="C180" s="5" t="inlineStr">
        <is>
          <t>扭捏 棕绿色质感显瘦 100%全羊毛呢外套半裙</t>
        </is>
      </c>
      <c r="D180" s="5" t="inlineStr">
        <is>
          <t>修身毛呢外套</t>
        </is>
      </c>
      <c r="E180" s="4" t="inlineStr">
        <is>
          <t>S</t>
        </is>
      </c>
      <c r="F180" s="6" t="n">
        <v>759</v>
      </c>
      <c r="G180" s="58" t="n">
        <v>2</v>
      </c>
      <c r="H180" s="58" t="n">
        <v>0</v>
      </c>
      <c r="I180" s="58" t="n">
        <v>0</v>
      </c>
      <c r="J180" s="46">
        <f>G180+H180-I180</f>
        <v/>
      </c>
      <c r="K180" s="21">
        <f>IF(J180=0,"🔴缺货",IF(J180&lt;=2,"🟡低库存","🟢正常"))</f>
        <v/>
      </c>
      <c r="L180" s="4" t="inlineStr"/>
    </row>
    <row r="181" ht="17" customHeight="1">
      <c r="A181" s="8" t="n">
        <v>177</v>
      </c>
      <c r="B181" s="8" t="inlineStr">
        <is>
          <t>TNW-1010-M</t>
        </is>
      </c>
      <c r="C181" s="9" t="inlineStr">
        <is>
          <t>扭捏 全棉提花格子碎花拼接松紧腰半身裙长裙 森系古着感</t>
        </is>
      </c>
      <c r="D181" s="9" t="inlineStr">
        <is>
          <t>拼接半身长裙</t>
        </is>
      </c>
      <c r="E181" s="8" t="inlineStr">
        <is>
          <t>M</t>
        </is>
      </c>
      <c r="F181" s="10" t="n">
        <v>439</v>
      </c>
      <c r="G181" s="58" t="n">
        <v>4</v>
      </c>
      <c r="H181" s="58" t="n">
        <v>0</v>
      </c>
      <c r="I181" s="58" t="n">
        <v>0</v>
      </c>
      <c r="J181" s="46">
        <f>G181+H181-I181</f>
        <v/>
      </c>
      <c r="K181" s="21">
        <f>IF(J181=0,"🔴缺货",IF(J181&lt;=2,"🟡低库存","🟢正常"))</f>
        <v/>
      </c>
      <c r="L181" s="8" t="inlineStr"/>
    </row>
    <row r="182" ht="17" customHeight="1">
      <c r="A182" s="4" t="n">
        <v>178</v>
      </c>
      <c r="B182" s="4" t="inlineStr">
        <is>
          <t>TNW-1010-S</t>
        </is>
      </c>
      <c r="C182" s="5" t="inlineStr">
        <is>
          <t>扭捏 全棉提花格子碎花拼接松紧腰半身裙长裙 森系古着感</t>
        </is>
      </c>
      <c r="D182" s="5" t="inlineStr">
        <is>
          <t>拼接半身长裙</t>
        </is>
      </c>
      <c r="E182" s="4" t="inlineStr">
        <is>
          <t>S</t>
        </is>
      </c>
      <c r="F182" s="6" t="n">
        <v>439</v>
      </c>
      <c r="G182" s="58" t="n">
        <v>6</v>
      </c>
      <c r="H182" s="58" t="n">
        <v>0</v>
      </c>
      <c r="I182" s="58" t="n">
        <v>0</v>
      </c>
      <c r="J182" s="46">
        <f>G182+H182-I182</f>
        <v/>
      </c>
      <c r="K182" s="21">
        <f>IF(J182=0,"🔴缺货",IF(J182&lt;=2,"🟡低库存","🟢正常"))</f>
        <v/>
      </c>
      <c r="L182" s="4" t="inlineStr"/>
    </row>
    <row r="183" ht="17" customHeight="1">
      <c r="A183" s="8" t="n">
        <v>179</v>
      </c>
      <c r="B183" s="8" t="inlineStr">
        <is>
          <t>TNW-1026-灰紫M</t>
        </is>
      </c>
      <c r="C183" s="9" t="inlineStr">
        <is>
          <t>扭捏 豹纹可拆卸领子灯芯绒拼接风衣式中长款外套90白鹅绒服</t>
        </is>
      </c>
      <c r="D183" s="9" t="inlineStr">
        <is>
          <t>灰紫色90白鹅绒</t>
        </is>
      </c>
      <c r="E183" s="8" t="inlineStr">
        <is>
          <t>M</t>
        </is>
      </c>
      <c r="F183" s="10" t="n">
        <v>1599</v>
      </c>
      <c r="G183" s="58" t="n">
        <v>15</v>
      </c>
      <c r="H183" s="58" t="n">
        <v>0</v>
      </c>
      <c r="I183" s="58" t="n">
        <v>0</v>
      </c>
      <c r="J183" s="46">
        <f>G183+H183-I183</f>
        <v/>
      </c>
      <c r="K183" s="21">
        <f>IF(J183=0,"🔴缺货",IF(J183&lt;=2,"🟡低库存","🟢正常"))</f>
        <v/>
      </c>
      <c r="L183" s="8" t="inlineStr"/>
    </row>
    <row r="184" ht="17" customHeight="1">
      <c r="A184" s="4" t="n">
        <v>180</v>
      </c>
      <c r="B184" s="4" t="inlineStr">
        <is>
          <t>TNW-1026-灰紫S</t>
        </is>
      </c>
      <c r="C184" s="5" t="inlineStr">
        <is>
          <t>扭捏 豹纹可拆卸领子灯芯绒拼接风衣式中长款外套90白鹅绒服</t>
        </is>
      </c>
      <c r="D184" s="5" t="inlineStr">
        <is>
          <t>灰紫色90白鹅绒</t>
        </is>
      </c>
      <c r="E184" s="4" t="inlineStr">
        <is>
          <t>S</t>
        </is>
      </c>
      <c r="F184" s="6" t="n">
        <v>1599</v>
      </c>
      <c r="G184" s="58" t="n">
        <v>14</v>
      </c>
      <c r="H184" s="58" t="n">
        <v>0</v>
      </c>
      <c r="I184" s="58" t="n">
        <v>0</v>
      </c>
      <c r="J184" s="46">
        <f>G184+H184-I184</f>
        <v/>
      </c>
      <c r="K184" s="21">
        <f>IF(J184=0,"🔴缺货",IF(J184&lt;=2,"🟡低库存","🟢正常"))</f>
        <v/>
      </c>
      <c r="L184" s="4" t="inlineStr"/>
    </row>
    <row r="185" ht="17" customHeight="1">
      <c r="A185" s="8" t="n">
        <v>181</v>
      </c>
      <c r="B185" s="8" t="inlineStr">
        <is>
          <t>TNW-1026-栗M</t>
        </is>
      </c>
      <c r="C185" s="9" t="inlineStr">
        <is>
          <t>扭捏 豹纹可拆卸领子灯芯绒拼接风衣式中长款外套90白鹅绒服</t>
        </is>
      </c>
      <c r="D185" s="9" t="inlineStr">
        <is>
          <t>栗色90白鹅绒服</t>
        </is>
      </c>
      <c r="E185" s="8" t="inlineStr">
        <is>
          <t>M</t>
        </is>
      </c>
      <c r="F185" s="10" t="n">
        <v>1599</v>
      </c>
      <c r="G185" s="58" t="n">
        <v>13</v>
      </c>
      <c r="H185" s="58" t="n">
        <v>0</v>
      </c>
      <c r="I185" s="58" t="n">
        <v>0</v>
      </c>
      <c r="J185" s="46">
        <f>G185+H185-I185</f>
        <v/>
      </c>
      <c r="K185" s="21">
        <f>IF(J185=0,"🔴缺货",IF(J185&lt;=2,"🟡低库存","🟢正常"))</f>
        <v/>
      </c>
      <c r="L185" s="8" t="inlineStr"/>
    </row>
    <row r="186" ht="17" customHeight="1">
      <c r="A186" s="4" t="n">
        <v>182</v>
      </c>
      <c r="B186" s="4" t="inlineStr">
        <is>
          <t>TNW-1026-栗S</t>
        </is>
      </c>
      <c r="C186" s="5" t="inlineStr">
        <is>
          <t>扭捏 豹纹可拆卸领子灯芯绒拼接风衣式中长款外套90白鹅绒服</t>
        </is>
      </c>
      <c r="D186" s="5" t="inlineStr">
        <is>
          <t>栗色90白鹅绒服</t>
        </is>
      </c>
      <c r="E186" s="4" t="inlineStr">
        <is>
          <t>S</t>
        </is>
      </c>
      <c r="F186" s="6" t="n">
        <v>1599</v>
      </c>
      <c r="G186" s="58" t="n">
        <v>16</v>
      </c>
      <c r="H186" s="58" t="n">
        <v>0</v>
      </c>
      <c r="I186" s="58" t="n">
        <v>0</v>
      </c>
      <c r="J186" s="46">
        <f>G186+H186-I186</f>
        <v/>
      </c>
      <c r="K186" s="21">
        <f>IF(J186=0,"🔴缺货",IF(J186&lt;=2,"🟡低库存","🟢正常"))</f>
        <v/>
      </c>
      <c r="L186" s="4" t="inlineStr"/>
    </row>
    <row r="187" ht="17" customHeight="1">
      <c r="A187" s="8" t="n">
        <v>183</v>
      </c>
      <c r="B187" s="8" t="inlineStr">
        <is>
          <t>TNW-1065-灰M</t>
        </is>
      </c>
      <c r="C187" s="9" t="inlineStr">
        <is>
          <t>扭捏 秋冬豹纹纯棉亲肤柔软保暖一字领打底衫上衣 长袖T恤 原创</t>
        </is>
      </c>
      <c r="D187" s="9" t="inlineStr">
        <is>
          <t>灰色豹纹长袖T恤</t>
        </is>
      </c>
      <c r="E187" s="8" t="inlineStr">
        <is>
          <t>M</t>
        </is>
      </c>
      <c r="F187" s="10" t="n">
        <v>319</v>
      </c>
      <c r="G187" s="58" t="n">
        <v>19</v>
      </c>
      <c r="H187" s="58" t="n">
        <v>0</v>
      </c>
      <c r="I187" s="58" t="n">
        <v>0</v>
      </c>
      <c r="J187" s="46">
        <f>G187+H187-I187</f>
        <v/>
      </c>
      <c r="K187" s="21">
        <f>IF(J187=0,"🔴缺货",IF(J187&lt;=2,"🟡低库存","🟢正常"))</f>
        <v/>
      </c>
      <c r="L187" s="8" t="inlineStr"/>
    </row>
    <row r="188" ht="17" customHeight="1">
      <c r="A188" s="4" t="n">
        <v>184</v>
      </c>
      <c r="B188" s="4" t="inlineStr">
        <is>
          <t>TNW-1065-灰S</t>
        </is>
      </c>
      <c r="C188" s="5" t="inlineStr">
        <is>
          <t>扭捏 秋冬豹纹纯棉亲肤柔软保暖一字领打底衫上衣 长袖T恤 原创</t>
        </is>
      </c>
      <c r="D188" s="5" t="inlineStr">
        <is>
          <t>灰色豹纹长袖T恤</t>
        </is>
      </c>
      <c r="E188" s="4" t="inlineStr">
        <is>
          <t>S</t>
        </is>
      </c>
      <c r="F188" s="6" t="n">
        <v>319</v>
      </c>
      <c r="G188" s="58" t="n">
        <v>18</v>
      </c>
      <c r="H188" s="58" t="n">
        <v>0</v>
      </c>
      <c r="I188" s="58" t="n">
        <v>0</v>
      </c>
      <c r="J188" s="46">
        <f>G188+H188-I188</f>
        <v/>
      </c>
      <c r="K188" s="21">
        <f>IF(J188=0,"🔴缺货",IF(J188&lt;=2,"🟡低库存","🟢正常"))</f>
        <v/>
      </c>
      <c r="L188" s="4" t="inlineStr"/>
    </row>
    <row r="189" ht="17" customHeight="1">
      <c r="A189" s="8" t="n">
        <v>185</v>
      </c>
      <c r="B189" s="8" t="inlineStr">
        <is>
          <t>TNW-1065-棕M</t>
        </is>
      </c>
      <c r="C189" s="9" t="inlineStr">
        <is>
          <t>扭捏 秋冬豹纹纯棉亲肤柔软保暖一字领打底衫上衣 长袖T恤 原创</t>
        </is>
      </c>
      <c r="D189" s="9" t="inlineStr">
        <is>
          <t>棕色豹纹长袖T恤</t>
        </is>
      </c>
      <c r="E189" s="8" t="inlineStr">
        <is>
          <t>M</t>
        </is>
      </c>
      <c r="F189" s="10" t="n">
        <v>319</v>
      </c>
      <c r="G189" s="58" t="n">
        <v>19</v>
      </c>
      <c r="H189" s="58" t="n">
        <v>0</v>
      </c>
      <c r="I189" s="58" t="n">
        <v>0</v>
      </c>
      <c r="J189" s="46">
        <f>G189+H189-I189</f>
        <v/>
      </c>
      <c r="K189" s="21">
        <f>IF(J189=0,"🔴缺货",IF(J189&lt;=2,"🟡低库存","🟢正常"))</f>
        <v/>
      </c>
      <c r="L189" s="8" t="inlineStr"/>
    </row>
    <row r="190" ht="17" customHeight="1">
      <c r="A190" s="4" t="n">
        <v>186</v>
      </c>
      <c r="B190" s="4" t="inlineStr">
        <is>
          <t>TNW-1065-棕S</t>
        </is>
      </c>
      <c r="C190" s="5" t="inlineStr">
        <is>
          <t>扭捏 秋冬豹纹纯棉亲肤柔软保暖一字领打底衫上衣 长袖T恤 原创</t>
        </is>
      </c>
      <c r="D190" s="5" t="inlineStr">
        <is>
          <t>棕色豹纹长袖T恤</t>
        </is>
      </c>
      <c r="E190" s="4" t="inlineStr">
        <is>
          <t>S</t>
        </is>
      </c>
      <c r="F190" s="6" t="n">
        <v>319</v>
      </c>
      <c r="G190" s="58" t="n">
        <v>19</v>
      </c>
      <c r="H190" s="58" t="n">
        <v>0</v>
      </c>
      <c r="I190" s="58" t="n">
        <v>0</v>
      </c>
      <c r="J190" s="46">
        <f>G190+H190-I190</f>
        <v/>
      </c>
      <c r="K190" s="21">
        <f>IF(J190=0,"🔴缺货",IF(J190&lt;=2,"🟡低库存","🟢正常"))</f>
        <v/>
      </c>
      <c r="L190" s="4" t="inlineStr"/>
    </row>
    <row r="191" ht="17" customHeight="1">
      <c r="A191" s="8" t="n">
        <v>187</v>
      </c>
      <c r="B191" s="8" t="inlineStr">
        <is>
          <t>TNW-0702-褐M</t>
        </is>
      </c>
      <c r="C191" s="9" t="inlineStr">
        <is>
          <t>扭捏 乐谱印花长袖T恤 兰精天丝进口美利奴羊毛打底上衣小众设计</t>
        </is>
      </c>
      <c r="D191" s="9" t="inlineStr">
        <is>
          <t>茶褐色音符上衣</t>
        </is>
      </c>
      <c r="E191" s="8" t="inlineStr">
        <is>
          <t>M</t>
        </is>
      </c>
      <c r="F191" s="10" t="n">
        <v>299</v>
      </c>
      <c r="G191" s="58" t="n">
        <v>19</v>
      </c>
      <c r="H191" s="58" t="n">
        <v>0</v>
      </c>
      <c r="I191" s="58" t="n">
        <v>0</v>
      </c>
      <c r="J191" s="46">
        <f>G191+H191-I191</f>
        <v/>
      </c>
      <c r="K191" s="21">
        <f>IF(J191=0,"🔴缺货",IF(J191&lt;=2,"🟡低库存","🟢正常"))</f>
        <v/>
      </c>
      <c r="L191" s="8" t="inlineStr"/>
    </row>
    <row r="192" ht="17" customHeight="1">
      <c r="A192" s="4" t="n">
        <v>188</v>
      </c>
      <c r="B192" s="4" t="inlineStr">
        <is>
          <t>TNW-0702-褐S</t>
        </is>
      </c>
      <c r="C192" s="5" t="inlineStr">
        <is>
          <t>扭捏 乐谱印花长袖T恤 兰精天丝进口美利奴羊毛打底上衣小众设计</t>
        </is>
      </c>
      <c r="D192" s="5" t="inlineStr">
        <is>
          <t>茶褐色音符上衣</t>
        </is>
      </c>
      <c r="E192" s="4" t="inlineStr">
        <is>
          <t>S</t>
        </is>
      </c>
      <c r="F192" s="6" t="n">
        <v>299</v>
      </c>
      <c r="G192" s="58" t="n">
        <v>19</v>
      </c>
      <c r="H192" s="58" t="n">
        <v>0</v>
      </c>
      <c r="I192" s="58" t="n">
        <v>0</v>
      </c>
      <c r="J192" s="46">
        <f>G192+H192-I192</f>
        <v/>
      </c>
      <c r="K192" s="21">
        <f>IF(J192=0,"🔴缺货",IF(J192&lt;=2,"🟡低库存","🟢正常"))</f>
        <v/>
      </c>
      <c r="L192" s="4" t="inlineStr"/>
    </row>
    <row r="193" ht="17" customHeight="1">
      <c r="A193" s="8" t="n">
        <v>189</v>
      </c>
      <c r="B193" s="8" t="inlineStr">
        <is>
          <t>TNW-0702-绿M</t>
        </is>
      </c>
      <c r="C193" s="9" t="inlineStr">
        <is>
          <t>扭捏 乐谱印花长袖T恤 兰精天丝进口美利奴羊毛打底上衣小众设计</t>
        </is>
      </c>
      <c r="D193" s="9" t="inlineStr">
        <is>
          <t>草绿色音符上衣</t>
        </is>
      </c>
      <c r="E193" s="8" t="inlineStr">
        <is>
          <t>M</t>
        </is>
      </c>
      <c r="F193" s="10" t="n">
        <v>299</v>
      </c>
      <c r="G193" s="58" t="n">
        <v>12</v>
      </c>
      <c r="H193" s="58" t="n">
        <v>0</v>
      </c>
      <c r="I193" s="58" t="n">
        <v>0</v>
      </c>
      <c r="J193" s="46">
        <f>G193+H193-I193</f>
        <v/>
      </c>
      <c r="K193" s="21">
        <f>IF(J193=0,"🔴缺货",IF(J193&lt;=2,"🟡低库存","🟢正常"))</f>
        <v/>
      </c>
      <c r="L193" s="8" t="inlineStr"/>
    </row>
    <row r="194" ht="17" customHeight="1">
      <c r="A194" s="4" t="n">
        <v>190</v>
      </c>
      <c r="B194" s="4" t="inlineStr">
        <is>
          <t>TNW-0702-绿S</t>
        </is>
      </c>
      <c r="C194" s="5" t="inlineStr">
        <is>
          <t>扭捏 乐谱印花长袖T恤 兰精天丝进口美利奴羊毛打底上衣小众设计</t>
        </is>
      </c>
      <c r="D194" s="5" t="inlineStr">
        <is>
          <t>草绿色音符上衣</t>
        </is>
      </c>
      <c r="E194" s="4" t="inlineStr">
        <is>
          <t>S</t>
        </is>
      </c>
      <c r="F194" s="6" t="n">
        <v>299</v>
      </c>
      <c r="G194" s="58" t="n">
        <v>10</v>
      </c>
      <c r="H194" s="58" t="n">
        <v>0</v>
      </c>
      <c r="I194" s="58" t="n">
        <v>0</v>
      </c>
      <c r="J194" s="46">
        <f>G194+H194-I194</f>
        <v/>
      </c>
      <c r="K194" s="21">
        <f>IF(J194=0,"🔴缺货",IF(J194&lt;=2,"🟡低库存","🟢正常"))</f>
        <v/>
      </c>
      <c r="L194" s="4" t="inlineStr"/>
    </row>
    <row r="195" ht="17" customHeight="1">
      <c r="A195" s="8" t="n">
        <v>191</v>
      </c>
      <c r="B195" s="8" t="inlineStr">
        <is>
          <t>TNW-1022-蓝M</t>
        </is>
      </c>
      <c r="C195" s="9" t="inlineStr">
        <is>
          <t>扭捏 原创碎花90白鹅绒服 浅紫色蓝色双面穿 面包羽绒服保暖外套</t>
        </is>
      </c>
      <c r="D195" s="9" t="inlineStr">
        <is>
          <t>蓝色碎花90白鹅绒服</t>
        </is>
      </c>
      <c r="E195" s="8" t="inlineStr">
        <is>
          <t>M</t>
        </is>
      </c>
      <c r="F195" s="10" t="n">
        <v>1699</v>
      </c>
      <c r="G195" s="58" t="n">
        <v>20</v>
      </c>
      <c r="H195" s="58" t="n">
        <v>0</v>
      </c>
      <c r="I195" s="58" t="n">
        <v>0</v>
      </c>
      <c r="J195" s="46">
        <f>G195+H195-I195</f>
        <v/>
      </c>
      <c r="K195" s="21">
        <f>IF(J195=0,"🔴缺货",IF(J195&lt;=2,"🟡低库存","🟢正常"))</f>
        <v/>
      </c>
      <c r="L195" s="8" t="inlineStr"/>
    </row>
    <row r="196" ht="17" customHeight="1">
      <c r="A196" s="4" t="n">
        <v>192</v>
      </c>
      <c r="B196" s="4" t="inlineStr">
        <is>
          <t>TNW-1022-蓝S</t>
        </is>
      </c>
      <c r="C196" s="5" t="inlineStr">
        <is>
          <t>扭捏 原创碎花90白鹅绒服 浅紫色蓝色双面穿 面包羽绒服保暖外套</t>
        </is>
      </c>
      <c r="D196" s="5" t="inlineStr">
        <is>
          <t>蓝色碎花90白鹅绒服</t>
        </is>
      </c>
      <c r="E196" s="4" t="inlineStr">
        <is>
          <t>S</t>
        </is>
      </c>
      <c r="F196" s="6" t="n">
        <v>1699</v>
      </c>
      <c r="G196" s="58" t="n">
        <v>9</v>
      </c>
      <c r="H196" s="58" t="n">
        <v>0</v>
      </c>
      <c r="I196" s="58" t="n">
        <v>0</v>
      </c>
      <c r="J196" s="46">
        <f>G196+H196-I196</f>
        <v/>
      </c>
      <c r="K196" s="21">
        <f>IF(J196=0,"🔴缺货",IF(J196&lt;=2,"🟡低库存","🟢正常"))</f>
        <v/>
      </c>
      <c r="L196" s="4" t="inlineStr"/>
    </row>
    <row r="197" ht="17" customHeight="1">
      <c r="A197" s="8" t="n">
        <v>193</v>
      </c>
      <c r="B197" s="8" t="inlineStr">
        <is>
          <t>TNW-1022-紫M</t>
        </is>
      </c>
      <c r="C197" s="9" t="inlineStr">
        <is>
          <t>扭捏 原创碎花90白鹅绒服 浅紫色蓝色双面穿 面包羽绒服保暖外套</t>
        </is>
      </c>
      <c r="D197" s="9" t="inlineStr">
        <is>
          <t>紫色碎花90白鹅绒服</t>
        </is>
      </c>
      <c r="E197" s="8" t="inlineStr">
        <is>
          <t>M</t>
        </is>
      </c>
      <c r="F197" s="10" t="n">
        <v>1699</v>
      </c>
      <c r="G197" s="58" t="n">
        <v>19</v>
      </c>
      <c r="H197" s="58" t="n">
        <v>0</v>
      </c>
      <c r="I197" s="58" t="n">
        <v>0</v>
      </c>
      <c r="J197" s="46">
        <f>G197+H197-I197</f>
        <v/>
      </c>
      <c r="K197" s="21">
        <f>IF(J197=0,"🔴缺货",IF(J197&lt;=2,"🟡低库存","🟢正常"))</f>
        <v/>
      </c>
      <c r="L197" s="8" t="inlineStr"/>
    </row>
    <row r="198" ht="17" customHeight="1">
      <c r="A198" s="4" t="n">
        <v>194</v>
      </c>
      <c r="B198" s="4" t="inlineStr">
        <is>
          <t>TNW-1022-紫S</t>
        </is>
      </c>
      <c r="C198" s="5" t="inlineStr">
        <is>
          <t>扭捏 原创碎花90白鹅绒服 浅紫色蓝色双面穿 面包羽绒服保暖外套</t>
        </is>
      </c>
      <c r="D198" s="5" t="inlineStr">
        <is>
          <t>紫色碎花90白鹅绒服</t>
        </is>
      </c>
      <c r="E198" s="4" t="inlineStr">
        <is>
          <t>S</t>
        </is>
      </c>
      <c r="F198" s="6" t="n">
        <v>1699</v>
      </c>
      <c r="G198" s="58" t="n">
        <v>13</v>
      </c>
      <c r="H198" s="58" t="n">
        <v>0</v>
      </c>
      <c r="I198" s="58" t="n">
        <v>0</v>
      </c>
      <c r="J198" s="46">
        <f>G198+H198-I198</f>
        <v/>
      </c>
      <c r="K198" s="21">
        <f>IF(J198=0,"🔴缺货",IF(J198&lt;=2,"🟡低库存","🟢正常"))</f>
        <v/>
      </c>
      <c r="L198" s="4" t="inlineStr"/>
    </row>
    <row r="199" ht="17" customHeight="1">
      <c r="A199" s="8" t="n">
        <v>195</v>
      </c>
      <c r="B199" s="8" t="inlineStr">
        <is>
          <t>TNW-0907-M</t>
        </is>
      </c>
      <c r="C199" s="9" t="inlineStr">
        <is>
          <t>扭捏 NIU NIE 紫色贴布刺绣毛巾布 碎花两面穿加厚外套 原创设计</t>
        </is>
      </c>
      <c r="D199" s="9" t="inlineStr">
        <is>
          <t>紫色碎花两面穿卫衣</t>
        </is>
      </c>
      <c r="E199" s="8" t="inlineStr">
        <is>
          <t>M</t>
        </is>
      </c>
      <c r="F199" s="10" t="n">
        <v>549</v>
      </c>
      <c r="G199" s="58" t="n">
        <v>19</v>
      </c>
      <c r="H199" s="58" t="n">
        <v>0</v>
      </c>
      <c r="I199" s="58" t="n">
        <v>0</v>
      </c>
      <c r="J199" s="46">
        <f>G199+H199-I199</f>
        <v/>
      </c>
      <c r="K199" s="21">
        <f>IF(J199=0,"🔴缺货",IF(J199&lt;=2,"🟡低库存","🟢正常"))</f>
        <v/>
      </c>
      <c r="L199" s="8" t="inlineStr"/>
    </row>
    <row r="200" ht="17" customHeight="1">
      <c r="A200" s="4" t="n">
        <v>196</v>
      </c>
      <c r="B200" s="4" t="inlineStr">
        <is>
          <t>TNW-0907-S</t>
        </is>
      </c>
      <c r="C200" s="5" t="inlineStr">
        <is>
          <t>扭捏 NIU NIE 紫色贴布刺绣毛巾布 碎花两面穿加厚外套 原创设计</t>
        </is>
      </c>
      <c r="D200" s="5" t="inlineStr">
        <is>
          <t>紫色碎花两面穿卫衣</t>
        </is>
      </c>
      <c r="E200" s="4" t="inlineStr">
        <is>
          <t>S</t>
        </is>
      </c>
      <c r="F200" s="6" t="n">
        <v>549</v>
      </c>
      <c r="G200" s="58" t="n">
        <v>15</v>
      </c>
      <c r="H200" s="58" t="n">
        <v>0</v>
      </c>
      <c r="I200" s="58" t="n">
        <v>0</v>
      </c>
      <c r="J200" s="46">
        <f>G200+H200-I200</f>
        <v/>
      </c>
      <c r="K200" s="21">
        <f>IF(J200=0,"🔴缺货",IF(J200&lt;=2,"🟡低库存","🟢正常"))</f>
        <v/>
      </c>
      <c r="L200" s="4" t="inlineStr"/>
    </row>
    <row r="201" ht="17" customHeight="1">
      <c r="A201" s="8" t="n">
        <v>197</v>
      </c>
      <c r="B201" s="8" t="inlineStr">
        <is>
          <t>TNW-1011-棕M</t>
        </is>
      </c>
      <c r="C201" s="9" t="inlineStr">
        <is>
          <t>扭捏 「我只想睡觉」原创印花双层圆领毛巾料卫衣睡衣长裤 家居服</t>
        </is>
      </c>
      <c r="D201" s="9" t="inlineStr">
        <is>
          <t>棕色毛巾长裤</t>
        </is>
      </c>
      <c r="E201" s="8" t="inlineStr">
        <is>
          <t>M</t>
        </is>
      </c>
      <c r="F201" s="10" t="n">
        <v>269</v>
      </c>
      <c r="G201" s="58" t="n">
        <v>18</v>
      </c>
      <c r="H201" s="58" t="n">
        <v>0</v>
      </c>
      <c r="I201" s="58" t="n">
        <v>0</v>
      </c>
      <c r="J201" s="46">
        <f>G201+H201-I201</f>
        <v/>
      </c>
      <c r="K201" s="21">
        <f>IF(J201=0,"🔴缺货",IF(J201&lt;=2,"🟡低库存","🟢正常"))</f>
        <v/>
      </c>
      <c r="L201" s="8" t="inlineStr"/>
    </row>
    <row r="202" ht="17" customHeight="1">
      <c r="A202" s="4" t="n">
        <v>198</v>
      </c>
      <c r="B202" s="4" t="inlineStr">
        <is>
          <t>TNW-1011-棕S</t>
        </is>
      </c>
      <c r="C202" s="5" t="inlineStr">
        <is>
          <t>扭捏 「我只想睡觉」原创印花双层圆领毛巾料卫衣睡衣长裤 家居服</t>
        </is>
      </c>
      <c r="D202" s="5" t="inlineStr">
        <is>
          <t>棕色毛巾长裤</t>
        </is>
      </c>
      <c r="E202" s="4" t="inlineStr">
        <is>
          <t>S</t>
        </is>
      </c>
      <c r="F202" s="6" t="n">
        <v>269</v>
      </c>
      <c r="G202" s="58" t="n">
        <v>15</v>
      </c>
      <c r="H202" s="58" t="n">
        <v>0</v>
      </c>
      <c r="I202" s="58" t="n">
        <v>0</v>
      </c>
      <c r="J202" s="46">
        <f>G202+H202-I202</f>
        <v/>
      </c>
      <c r="K202" s="21">
        <f>IF(J202=0,"🔴缺货",IF(J202&lt;=2,"🟡低库存","🟢正常"))</f>
        <v/>
      </c>
      <c r="L202" s="4" t="inlineStr"/>
    </row>
    <row r="203" ht="17" customHeight="1">
      <c r="A203" s="8" t="n">
        <v>199</v>
      </c>
      <c r="B203" s="8" t="inlineStr">
        <is>
          <t>TNW-0918-M</t>
        </is>
      </c>
      <c r="C203" s="9" t="inlineStr">
        <is>
          <t>扭捏 「我只想睡觉」原创印花双层圆领毛巾料卫衣睡衣长裤 家居服</t>
        </is>
      </c>
      <c r="D203" s="9" t="inlineStr">
        <is>
          <t>双层圆领卫衣</t>
        </is>
      </c>
      <c r="E203" s="8" t="inlineStr">
        <is>
          <t>M</t>
        </is>
      </c>
      <c r="F203" s="10" t="n">
        <v>299</v>
      </c>
      <c r="G203" s="58" t="n">
        <v>7</v>
      </c>
      <c r="H203" s="58" t="n">
        <v>0</v>
      </c>
      <c r="I203" s="58" t="n">
        <v>0</v>
      </c>
      <c r="J203" s="46">
        <f>G203+H203-I203</f>
        <v/>
      </c>
      <c r="K203" s="21">
        <f>IF(J203=0,"🔴缺货",IF(J203&lt;=2,"🟡低库存","🟢正常"))</f>
        <v/>
      </c>
      <c r="L203" s="8" t="inlineStr"/>
    </row>
    <row r="204" ht="17" customHeight="1">
      <c r="A204" s="4" t="n">
        <v>200</v>
      </c>
      <c r="B204" s="4" t="inlineStr">
        <is>
          <t>TNW-0918-S</t>
        </is>
      </c>
      <c r="C204" s="5" t="inlineStr">
        <is>
          <t>扭捏 「我只想睡觉」原创印花双层圆领毛巾料卫衣睡衣长裤 家居服</t>
        </is>
      </c>
      <c r="D204" s="5" t="inlineStr">
        <is>
          <t>双层圆领卫衣</t>
        </is>
      </c>
      <c r="E204" s="4" t="inlineStr">
        <is>
          <t>S</t>
        </is>
      </c>
      <c r="F204" s="6" t="n">
        <v>299</v>
      </c>
      <c r="G204" s="58" t="n">
        <v>11</v>
      </c>
      <c r="H204" s="58" t="n">
        <v>0</v>
      </c>
      <c r="I204" s="58" t="n">
        <v>0</v>
      </c>
      <c r="J204" s="46">
        <f>G204+H204-I204</f>
        <v/>
      </c>
      <c r="K204" s="21">
        <f>IF(J204=0,"🔴缺货",IF(J204&lt;=2,"🟡低库存","🟢正常"))</f>
        <v/>
      </c>
      <c r="L204" s="4" t="inlineStr"/>
    </row>
    <row r="205" ht="17" customHeight="1">
      <c r="A205" s="8" t="n">
        <v>201</v>
      </c>
      <c r="B205" s="8" t="inlineStr">
        <is>
          <t>TNW-0915-M</t>
        </is>
      </c>
      <c r="C205" s="9" t="inlineStr">
        <is>
          <t>扭捏原创 澳洲进口美利奴羊毛 缩绒工艺 撞色拼接衬衫上衣 花苞裙</t>
        </is>
      </c>
      <c r="D205" s="9" t="inlineStr">
        <is>
          <t>浅绿色花苞裙</t>
        </is>
      </c>
      <c r="E205" s="8" t="inlineStr">
        <is>
          <t>M</t>
        </is>
      </c>
      <c r="F205" s="10" t="n">
        <v>499</v>
      </c>
      <c r="G205" s="58" t="n">
        <v>3</v>
      </c>
      <c r="H205" s="58" t="n">
        <v>0</v>
      </c>
      <c r="I205" s="58" t="n">
        <v>0</v>
      </c>
      <c r="J205" s="46">
        <f>G205+H205-I205</f>
        <v/>
      </c>
      <c r="K205" s="21">
        <f>IF(J205=0,"🔴缺货",IF(J205&lt;=2,"🟡低库存","🟢正常"))</f>
        <v/>
      </c>
      <c r="L205" s="8" t="inlineStr"/>
    </row>
    <row r="206" ht="17" customHeight="1">
      <c r="A206" s="4" t="n">
        <v>202</v>
      </c>
      <c r="B206" s="4" t="inlineStr">
        <is>
          <t>TNW-0915-S</t>
        </is>
      </c>
      <c r="C206" s="5" t="inlineStr">
        <is>
          <t>扭捏原创 澳洲进口美利奴羊毛 缩绒工艺 撞色拼接衬衫上衣 花苞裙</t>
        </is>
      </c>
      <c r="D206" s="5" t="inlineStr">
        <is>
          <t>浅绿色花苞裙</t>
        </is>
      </c>
      <c r="E206" s="4" t="inlineStr">
        <is>
          <t>S</t>
        </is>
      </c>
      <c r="F206" s="6" t="n">
        <v>499</v>
      </c>
      <c r="G206" s="58" t="n">
        <v>3</v>
      </c>
      <c r="H206" s="58" t="n">
        <v>0</v>
      </c>
      <c r="I206" s="58" t="n">
        <v>0</v>
      </c>
      <c r="J206" s="46">
        <f>G206+H206-I206</f>
        <v/>
      </c>
      <c r="K206" s="21">
        <f>IF(J206=0,"🔴缺货",IF(J206&lt;=2,"🟡低库存","🟢正常"))</f>
        <v/>
      </c>
      <c r="L206" s="4" t="inlineStr"/>
    </row>
    <row r="207" ht="17" customHeight="1">
      <c r="A207" s="8" t="n">
        <v>203</v>
      </c>
      <c r="B207" s="8" t="inlineStr">
        <is>
          <t>TNW-0802-M</t>
        </is>
      </c>
      <c r="C207" s="9" t="inlineStr">
        <is>
          <t>扭捏原创 澳洲进口美利奴羊毛 缩绒工艺 撞色拼接衬衫上衣 花苞裙</t>
        </is>
      </c>
      <c r="D207" s="9" t="inlineStr">
        <is>
          <t>撞色拼接衬衫</t>
        </is>
      </c>
      <c r="E207" s="8" t="inlineStr">
        <is>
          <t>M</t>
        </is>
      </c>
      <c r="F207" s="10" t="n">
        <v>529</v>
      </c>
      <c r="G207" s="58" t="n">
        <v>3</v>
      </c>
      <c r="H207" s="58" t="n">
        <v>0</v>
      </c>
      <c r="I207" s="58" t="n">
        <v>0</v>
      </c>
      <c r="J207" s="46">
        <f>G207+H207-I207</f>
        <v/>
      </c>
      <c r="K207" s="21">
        <f>IF(J207=0,"🔴缺货",IF(J207&lt;=2,"🟡低库存","🟢正常"))</f>
        <v/>
      </c>
      <c r="L207" s="8" t="inlineStr"/>
    </row>
    <row r="208" ht="17" customHeight="1">
      <c r="A208" s="4" t="n">
        <v>204</v>
      </c>
      <c r="B208" s="4" t="inlineStr">
        <is>
          <t>TNW-0802-S</t>
        </is>
      </c>
      <c r="C208" s="5" t="inlineStr">
        <is>
          <t>扭捏原创 澳洲进口美利奴羊毛 缩绒工艺 撞色拼接衬衫上衣 花苞裙</t>
        </is>
      </c>
      <c r="D208" s="5" t="inlineStr">
        <is>
          <t>撞色拼接衬衫</t>
        </is>
      </c>
      <c r="E208" s="4" t="inlineStr">
        <is>
          <t>S</t>
        </is>
      </c>
      <c r="F208" s="6" t="n">
        <v>529</v>
      </c>
      <c r="G208" s="58" t="n">
        <v>7</v>
      </c>
      <c r="H208" s="58" t="n">
        <v>0</v>
      </c>
      <c r="I208" s="58" t="n">
        <v>0</v>
      </c>
      <c r="J208" s="46">
        <f>G208+H208-I208</f>
        <v/>
      </c>
      <c r="K208" s="21">
        <f>IF(J208=0,"🔴缺货",IF(J208&lt;=2,"🟡低库存","🟢正常"))</f>
        <v/>
      </c>
      <c r="L208" s="4" t="inlineStr"/>
    </row>
    <row r="209" ht="17" customHeight="1">
      <c r="A209" s="8" t="n">
        <v>205</v>
      </c>
      <c r="B209" s="8" t="inlineStr"/>
      <c r="C209" s="9" t="inlineStr">
        <is>
          <t>扭捏 真丝棉混纺轻薄法式白衬衫 玫瑰花边荷叶领复古宽松长袖上衣</t>
        </is>
      </c>
      <c r="D209" s="9" t="inlineStr">
        <is>
          <t>白色花边衬衫</t>
        </is>
      </c>
      <c r="E209" s="8" t="inlineStr">
        <is>
          <t>真丝织物脆弱 请勿机洗以及大力拧干</t>
        </is>
      </c>
      <c r="F209" s="10" t="n">
        <v>428</v>
      </c>
      <c r="G209" s="58" t="n">
        <v>0</v>
      </c>
      <c r="H209" s="58" t="n">
        <v>0</v>
      </c>
      <c r="I209" s="58" t="n">
        <v>0</v>
      </c>
      <c r="J209" s="46">
        <f>G209+H209-I209</f>
        <v/>
      </c>
      <c r="K209" s="21">
        <f>IF(J209=0,"🔴缺货",IF(J209&lt;=2,"🟡低库存","🟢正常"))</f>
        <v/>
      </c>
      <c r="L209" s="8" t="inlineStr"/>
    </row>
    <row r="210" ht="17" customHeight="1">
      <c r="A210" s="4" t="n">
        <v>206</v>
      </c>
      <c r="B210" s="4" t="inlineStr"/>
      <c r="C210" s="5" t="inlineStr">
        <is>
          <t>扭捏 可爱小猫印花蕾丝花边少女感百搭灰色圆领短袖T恤上衣</t>
        </is>
      </c>
      <c r="D210" s="5" t="inlineStr">
        <is>
          <t>白色小猫T恤</t>
        </is>
      </c>
      <c r="E210" s="4" t="inlineStr">
        <is>
          <t>L</t>
        </is>
      </c>
      <c r="F210" s="6" t="n">
        <v>198</v>
      </c>
      <c r="G210" s="58" t="n">
        <v>8</v>
      </c>
      <c r="H210" s="58" t="n">
        <v>0</v>
      </c>
      <c r="I210" s="58" t="n">
        <v>0</v>
      </c>
      <c r="J210" s="46">
        <f>G210+H210-I210</f>
        <v/>
      </c>
      <c r="K210" s="21">
        <f>IF(J210=0,"🔴缺货",IF(J210&lt;=2,"🟡低库存","🟢正常"))</f>
        <v/>
      </c>
      <c r="L210" s="4" t="inlineStr"/>
    </row>
    <row r="211" ht="17" customHeight="1">
      <c r="A211" s="8" t="n">
        <v>207</v>
      </c>
      <c r="B211" s="8" t="inlineStr"/>
      <c r="C211" s="9" t="inlineStr">
        <is>
          <t>扭捏 可爱小猫印花蕾丝花边少女感百搭灰色圆领短袖T恤上衣</t>
        </is>
      </c>
      <c r="D211" s="9" t="inlineStr">
        <is>
          <t>白色小猫T恤</t>
        </is>
      </c>
      <c r="E211" s="8" t="inlineStr">
        <is>
          <t>M</t>
        </is>
      </c>
      <c r="F211" s="10" t="n">
        <v>198</v>
      </c>
      <c r="G211" s="58" t="n">
        <v>5</v>
      </c>
      <c r="H211" s="58" t="n">
        <v>0</v>
      </c>
      <c r="I211" s="58" t="n">
        <v>0</v>
      </c>
      <c r="J211" s="46">
        <f>G211+H211-I211</f>
        <v/>
      </c>
      <c r="K211" s="21">
        <f>IF(J211=0,"🔴缺货",IF(J211&lt;=2,"🟡低库存","🟢正常"))</f>
        <v/>
      </c>
      <c r="L211" s="8" t="inlineStr"/>
    </row>
    <row r="212" ht="17" customHeight="1">
      <c r="A212" s="4" t="n">
        <v>208</v>
      </c>
      <c r="B212" s="4" t="inlineStr"/>
      <c r="C212" s="5" t="inlineStr">
        <is>
          <t>扭捏 可爱小猫印花蕾丝花边少女感百搭灰色圆领短袖T恤上衣</t>
        </is>
      </c>
      <c r="D212" s="5" t="inlineStr">
        <is>
          <t>白色小猫T恤</t>
        </is>
      </c>
      <c r="E212" s="4" t="inlineStr">
        <is>
          <t>S</t>
        </is>
      </c>
      <c r="F212" s="6" t="n">
        <v>198</v>
      </c>
      <c r="G212" s="58" t="n">
        <v>5</v>
      </c>
      <c r="H212" s="58" t="n">
        <v>0</v>
      </c>
      <c r="I212" s="58" t="n">
        <v>0</v>
      </c>
      <c r="J212" s="46">
        <f>G212+H212-I212</f>
        <v/>
      </c>
      <c r="K212" s="21">
        <f>IF(J212=0,"🔴缺货",IF(J212&lt;=2,"🟡低库存","🟢正常"))</f>
        <v/>
      </c>
      <c r="L212" s="4" t="inlineStr"/>
    </row>
    <row r="213" ht="17" customHeight="1">
      <c r="A213" s="8" t="n">
        <v>209</v>
      </c>
      <c r="B213" s="8" t="inlineStr">
        <is>
          <t>NTF0351-L</t>
        </is>
      </c>
      <c r="C213" s="9" t="inlineStr">
        <is>
          <t>扭捏 流光缎面感复古棉麻提花背心吊带星星半裙正反拼接两件套装</t>
        </is>
      </c>
      <c r="D213" s="9" t="inlineStr">
        <is>
          <t>星星拼接半裙</t>
        </is>
      </c>
      <c r="E213" s="8" t="inlineStr">
        <is>
          <t>L</t>
        </is>
      </c>
      <c r="F213" s="10" t="n">
        <v>338</v>
      </c>
      <c r="G213" s="58" t="n">
        <v>0</v>
      </c>
      <c r="H213" s="58" t="n">
        <v>0</v>
      </c>
      <c r="I213" s="58" t="n">
        <v>0</v>
      </c>
      <c r="J213" s="46">
        <f>G213+H213-I213</f>
        <v/>
      </c>
      <c r="K213" s="21">
        <f>IF(J213=0,"🔴缺货",IF(J213&lt;=2,"🟡低库存","🟢正常"))</f>
        <v/>
      </c>
      <c r="L213" s="8" t="inlineStr"/>
    </row>
    <row r="214" ht="17" customHeight="1">
      <c r="A214" s="4" t="n">
        <v>210</v>
      </c>
      <c r="B214" s="4" t="inlineStr">
        <is>
          <t>NTF0511-L</t>
        </is>
      </c>
      <c r="C214" s="5" t="inlineStr">
        <is>
          <t>扭捏 流光缎面感复古棉麻提花背心吊带星星半裙正反拼接两件套装</t>
        </is>
      </c>
      <c r="D214" s="5" t="inlineStr">
        <is>
          <t>星星吊带</t>
        </is>
      </c>
      <c r="E214" s="4" t="inlineStr">
        <is>
          <t>L</t>
        </is>
      </c>
      <c r="F214" s="6" t="n">
        <v>278</v>
      </c>
      <c r="G214" s="58" t="n">
        <v>5</v>
      </c>
      <c r="H214" s="58" t="n">
        <v>0</v>
      </c>
      <c r="I214" s="58" t="n">
        <v>0</v>
      </c>
      <c r="J214" s="46">
        <f>G214+H214-I214</f>
        <v/>
      </c>
      <c r="K214" s="21">
        <f>IF(J214=0,"🔴缺货",IF(J214&lt;=2,"🟡低库存","🟢正常"))</f>
        <v/>
      </c>
      <c r="L214" s="4" t="inlineStr"/>
    </row>
    <row r="215" ht="17" customHeight="1">
      <c r="A215" s="8" t="n">
        <v>211</v>
      </c>
      <c r="B215" s="8" t="inlineStr">
        <is>
          <t>NTF0351-M</t>
        </is>
      </c>
      <c r="C215" s="9" t="inlineStr">
        <is>
          <t>扭捏 流光缎面感复古棉麻提花背心吊带星星半裙正反拼接两件套装</t>
        </is>
      </c>
      <c r="D215" s="9" t="inlineStr">
        <is>
          <t>星星拼接半裙</t>
        </is>
      </c>
      <c r="E215" s="8" t="inlineStr">
        <is>
          <t>M</t>
        </is>
      </c>
      <c r="F215" s="10" t="n">
        <v>338</v>
      </c>
      <c r="G215" s="58" t="n">
        <v>17</v>
      </c>
      <c r="H215" s="58" t="n">
        <v>0</v>
      </c>
      <c r="I215" s="58" t="n">
        <v>0</v>
      </c>
      <c r="J215" s="46">
        <f>G215+H215-I215</f>
        <v/>
      </c>
      <c r="K215" s="21">
        <f>IF(J215=0,"🔴缺货",IF(J215&lt;=2,"🟡低库存","🟢正常"))</f>
        <v/>
      </c>
      <c r="L215" s="8" t="inlineStr"/>
    </row>
    <row r="216" ht="17" customHeight="1">
      <c r="A216" s="4" t="n">
        <v>212</v>
      </c>
      <c r="B216" s="4" t="inlineStr">
        <is>
          <t>NTF0351-S</t>
        </is>
      </c>
      <c r="C216" s="5" t="inlineStr">
        <is>
          <t>扭捏 流光缎面感复古棉麻提花背心吊带星星半裙正反拼接两件套装</t>
        </is>
      </c>
      <c r="D216" s="5" t="inlineStr">
        <is>
          <t>星星拼接半裙</t>
        </is>
      </c>
      <c r="E216" s="4" t="inlineStr">
        <is>
          <t>S</t>
        </is>
      </c>
      <c r="F216" s="6" t="n">
        <v>338</v>
      </c>
      <c r="G216" s="58" t="n">
        <v>12</v>
      </c>
      <c r="H216" s="58" t="n">
        <v>0</v>
      </c>
      <c r="I216" s="58" t="n">
        <v>0</v>
      </c>
      <c r="J216" s="46">
        <f>G216+H216-I216</f>
        <v/>
      </c>
      <c r="K216" s="21">
        <f>IF(J216=0,"🔴缺货",IF(J216&lt;=2,"🟡低库存","🟢正常"))</f>
        <v/>
      </c>
      <c r="L216" s="4" t="inlineStr"/>
    </row>
    <row r="217" ht="17" customHeight="1">
      <c r="A217" s="8" t="n">
        <v>213</v>
      </c>
      <c r="B217" s="8" t="inlineStr">
        <is>
          <t>NTF0511-M</t>
        </is>
      </c>
      <c r="C217" s="9" t="inlineStr">
        <is>
          <t>扭捏 流光缎面感复古棉麻提花背心吊带星星半裙正反拼接两件套装</t>
        </is>
      </c>
      <c r="D217" s="9" t="inlineStr">
        <is>
          <t>星星吊带</t>
        </is>
      </c>
      <c r="E217" s="8" t="inlineStr">
        <is>
          <t>M</t>
        </is>
      </c>
      <c r="F217" s="10" t="n">
        <v>278</v>
      </c>
      <c r="G217" s="58" t="n">
        <v>17</v>
      </c>
      <c r="H217" s="58" t="n">
        <v>0</v>
      </c>
      <c r="I217" s="58" t="n">
        <v>0</v>
      </c>
      <c r="J217" s="46">
        <f>G217+H217-I217</f>
        <v/>
      </c>
      <c r="K217" s="21">
        <f>IF(J217=0,"🔴缺货",IF(J217&lt;=2,"🟡低库存","🟢正常"))</f>
        <v/>
      </c>
      <c r="L217" s="8" t="inlineStr"/>
    </row>
    <row r="218" ht="17" customHeight="1">
      <c r="A218" s="4" t="n">
        <v>214</v>
      </c>
      <c r="B218" s="4" t="inlineStr">
        <is>
          <t>NTF0511-S</t>
        </is>
      </c>
      <c r="C218" s="5" t="inlineStr">
        <is>
          <t>扭捏 流光缎面感复古棉麻提花背心吊带星星半裙正反拼接两件套装</t>
        </is>
      </c>
      <c r="D218" s="5" t="inlineStr">
        <is>
          <t>星星吊带</t>
        </is>
      </c>
      <c r="E218" s="4" t="inlineStr">
        <is>
          <t>S</t>
        </is>
      </c>
      <c r="F218" s="6" t="n">
        <v>278</v>
      </c>
      <c r="G218" s="58" t="n">
        <v>7</v>
      </c>
      <c r="H218" s="58" t="n">
        <v>0</v>
      </c>
      <c r="I218" s="58" t="n">
        <v>0</v>
      </c>
      <c r="J218" s="46">
        <f>G218+H218-I218</f>
        <v/>
      </c>
      <c r="K218" s="21">
        <f>IF(J218=0,"🔴缺货",IF(J218&lt;=2,"🟡低库存","🟢正常"))</f>
        <v/>
      </c>
      <c r="L218" s="4" t="inlineStr"/>
    </row>
    <row r="219" ht="17" customHeight="1">
      <c r="A219" s="8" t="n">
        <v>215</v>
      </c>
      <c r="B219" s="8" t="inlineStr">
        <is>
          <t>NTF0303-L</t>
        </is>
      </c>
      <c r="C219" s="9" t="inlineStr">
        <is>
          <t>扭捏 草裙舞女孩 / 小众设计夏威夷感度假风松紧腰沙滩印花半身裙</t>
        </is>
      </c>
      <c r="D219" s="9" t="inlineStr">
        <is>
          <t>夏威夷沙滩裙</t>
        </is>
      </c>
      <c r="E219" s="8" t="inlineStr">
        <is>
          <t>L</t>
        </is>
      </c>
      <c r="F219" s="10" t="n">
        <v>298</v>
      </c>
      <c r="G219" s="58" t="n">
        <v>0</v>
      </c>
      <c r="H219" s="58" t="n">
        <v>0</v>
      </c>
      <c r="I219" s="58" t="n">
        <v>0</v>
      </c>
      <c r="J219" s="46">
        <f>G219+H219-I219</f>
        <v/>
      </c>
      <c r="K219" s="21">
        <f>IF(J219=0,"🔴缺货",IF(J219&lt;=2,"🟡低库存","🟢正常"))</f>
        <v/>
      </c>
      <c r="L219" s="8" t="inlineStr"/>
    </row>
    <row r="220" ht="17" customHeight="1">
      <c r="A220" s="4" t="n">
        <v>216</v>
      </c>
      <c r="B220" s="4" t="inlineStr"/>
      <c r="C220" s="5" t="inlineStr">
        <is>
          <t>万能链接</t>
        </is>
      </c>
      <c r="D220" s="5" t="inlineStr"/>
      <c r="E220" s="4" t="inlineStr"/>
      <c r="F220" s="6" t="n">
        <v>10</v>
      </c>
      <c r="G220" s="58" t="n">
        <v>0</v>
      </c>
      <c r="H220" s="58" t="n">
        <v>0</v>
      </c>
      <c r="I220" s="58" t="n">
        <v>0</v>
      </c>
      <c r="J220" s="46">
        <f>G220+H220-I220</f>
        <v/>
      </c>
      <c r="K220" s="21">
        <f>IF(J220=0,"🔴缺货",IF(J220&lt;=2,"🟡低库存","🟢正常"))</f>
        <v/>
      </c>
      <c r="L220" s="4" t="inlineStr"/>
    </row>
    <row r="221" ht="17" customHeight="1">
      <c r="A221" s="8" t="n">
        <v>217</v>
      </c>
      <c r="B221" s="8" t="inlineStr">
        <is>
          <t>NTF0501A-L</t>
        </is>
      </c>
      <c r="C221" s="9" t="inlineStr">
        <is>
          <t>扭捏 拼接玫瑰法式蕾丝裙蝴蝶结绑带松紧腰 白色一片式a字半身裙</t>
        </is>
      </c>
      <c r="D221" s="9" t="inlineStr">
        <is>
          <t>白色刺绣一片式半裙</t>
        </is>
      </c>
      <c r="E221" s="8" t="inlineStr">
        <is>
          <t>L</t>
        </is>
      </c>
      <c r="F221" s="10" t="n">
        <v>368</v>
      </c>
      <c r="G221" s="58" t="n">
        <v>0</v>
      </c>
      <c r="H221" s="58" t="n">
        <v>0</v>
      </c>
      <c r="I221" s="58" t="n">
        <v>0</v>
      </c>
      <c r="J221" s="46">
        <f>G221+H221-I221</f>
        <v/>
      </c>
      <c r="K221" s="21">
        <f>IF(J221=0,"🔴缺货",IF(J221&lt;=2,"🟡低库存","🟢正常"))</f>
        <v/>
      </c>
      <c r="L221" s="8" t="inlineStr"/>
    </row>
    <row r="222" ht="17" customHeight="1">
      <c r="A222" s="4" t="n">
        <v>218</v>
      </c>
      <c r="B222" s="4" t="inlineStr">
        <is>
          <t>NTF0310-L</t>
        </is>
      </c>
      <c r="C222" s="5" t="inlineStr">
        <is>
          <t>扭捏 原创设计立体植绒提花兔子吃蘑菇拼接半身裙 宽松显瘦百褶裙</t>
        </is>
      </c>
      <c r="D222" s="5" t="inlineStr">
        <is>
          <t>兔子蘑菇拼接裙</t>
        </is>
      </c>
      <c r="E222" s="4" t="inlineStr">
        <is>
          <t>L</t>
        </is>
      </c>
      <c r="F222" s="6" t="n">
        <v>398</v>
      </c>
      <c r="G222" s="58" t="n">
        <v>0</v>
      </c>
      <c r="H222" s="58" t="n">
        <v>0</v>
      </c>
      <c r="I222" s="58" t="n">
        <v>0</v>
      </c>
      <c r="J222" s="46">
        <f>G222+H222-I222</f>
        <v/>
      </c>
      <c r="K222" s="21">
        <f>IF(J222=0,"🔴缺货",IF(J222&lt;=2,"🟡低库存","🟢正常"))</f>
        <v/>
      </c>
      <c r="L222" s="4" t="inlineStr"/>
    </row>
    <row r="223" ht="17" customHeight="1">
      <c r="A223" s="8" t="n">
        <v>219</v>
      </c>
      <c r="B223" s="8" t="inlineStr">
        <is>
          <t>NTF0310-M</t>
        </is>
      </c>
      <c r="C223" s="9" t="inlineStr">
        <is>
          <t>扭捏 原创设计立体植绒提花兔子吃蘑菇拼接半身裙 宽松显瘦百褶裙</t>
        </is>
      </c>
      <c r="D223" s="9" t="inlineStr">
        <is>
          <t>兔子蘑菇拼接裙</t>
        </is>
      </c>
      <c r="E223" s="8" t="inlineStr">
        <is>
          <t>M</t>
        </is>
      </c>
      <c r="F223" s="10" t="n">
        <v>398</v>
      </c>
      <c r="G223" s="58" t="n">
        <v>10</v>
      </c>
      <c r="H223" s="58" t="n">
        <v>0</v>
      </c>
      <c r="I223" s="58" t="n">
        <v>0</v>
      </c>
      <c r="J223" s="46">
        <f>G223+H223-I223</f>
        <v/>
      </c>
      <c r="K223" s="21">
        <f>IF(J223=0,"🔴缺货",IF(J223&lt;=2,"🟡低库存","🟢正常"))</f>
        <v/>
      </c>
      <c r="L223" s="8" t="inlineStr"/>
    </row>
    <row r="224" ht="17" customHeight="1">
      <c r="A224" s="4" t="n">
        <v>220</v>
      </c>
      <c r="B224" s="4" t="inlineStr">
        <is>
          <t>NTF0310-S</t>
        </is>
      </c>
      <c r="C224" s="5" t="inlineStr">
        <is>
          <t>扭捏 原创设计立体植绒提花兔子吃蘑菇拼接半身裙 宽松显瘦百褶裙</t>
        </is>
      </c>
      <c r="D224" s="5" t="inlineStr">
        <is>
          <t>兔子蘑菇拼接裙</t>
        </is>
      </c>
      <c r="E224" s="4" t="inlineStr">
        <is>
          <t>S</t>
        </is>
      </c>
      <c r="F224" s="6" t="n">
        <v>398</v>
      </c>
      <c r="G224" s="58" t="n">
        <v>1</v>
      </c>
      <c r="H224" s="58" t="n">
        <v>0</v>
      </c>
      <c r="I224" s="58" t="n">
        <v>0</v>
      </c>
      <c r="J224" s="46">
        <f>G224+H224-I224</f>
        <v/>
      </c>
      <c r="K224" s="21">
        <f>IF(J224=0,"🔴缺货",IF(J224&lt;=2,"🟡低库存","🟢正常"))</f>
        <v/>
      </c>
      <c r="L224" s="4" t="inlineStr"/>
    </row>
    <row r="225" ht="17" customHeight="1">
      <c r="A225" s="8" t="n">
        <v>221</v>
      </c>
      <c r="B225" s="8" t="inlineStr">
        <is>
          <t>NTF0317W-L</t>
        </is>
      </c>
      <c r="C225" s="9" t="inlineStr">
        <is>
          <t>扭捏 原创设计刺绣芭蕾风蓬蓬感宽松休闲裤 甜美白色褶皱花苞短裤</t>
        </is>
      </c>
      <c r="D225" s="9" t="inlineStr">
        <is>
          <t>刺绣花苞短裤</t>
        </is>
      </c>
      <c r="E225" s="8" t="inlineStr">
        <is>
          <t>L</t>
        </is>
      </c>
      <c r="F225" s="10" t="n">
        <v>268</v>
      </c>
      <c r="G225" s="58" t="n">
        <v>0</v>
      </c>
      <c r="H225" s="58" t="n">
        <v>0</v>
      </c>
      <c r="I225" s="58" t="n">
        <v>0</v>
      </c>
      <c r="J225" s="46">
        <f>G225+H225-I225</f>
        <v/>
      </c>
      <c r="K225" s="21">
        <f>IF(J225=0,"🔴缺货",IF(J225&lt;=2,"🟡低库存","🟢正常"))</f>
        <v/>
      </c>
      <c r="L225" s="8" t="inlineStr"/>
    </row>
    <row r="226" ht="17" customHeight="1">
      <c r="A226" s="4" t="n">
        <v>222</v>
      </c>
      <c r="B226" s="4" t="inlineStr">
        <is>
          <t>NTF0317W-M</t>
        </is>
      </c>
      <c r="C226" s="5" t="inlineStr">
        <is>
          <t>扭捏 原创设计刺绣芭蕾风蓬蓬感宽松休闲裤 甜美白色褶皱花苞短裤</t>
        </is>
      </c>
      <c r="D226" s="5" t="inlineStr">
        <is>
          <t>刺绣花苞短裤</t>
        </is>
      </c>
      <c r="E226" s="4" t="inlineStr">
        <is>
          <t>M</t>
        </is>
      </c>
      <c r="F226" s="6" t="n">
        <v>268</v>
      </c>
      <c r="G226" s="58" t="n">
        <v>8</v>
      </c>
      <c r="H226" s="58" t="n">
        <v>0</v>
      </c>
      <c r="I226" s="58" t="n">
        <v>0</v>
      </c>
      <c r="J226" s="46">
        <f>G226+H226-I226</f>
        <v/>
      </c>
      <c r="K226" s="21">
        <f>IF(J226=0,"🔴缺货",IF(J226&lt;=2,"🟡低库存","🟢正常"))</f>
        <v/>
      </c>
      <c r="L226" s="4" t="inlineStr"/>
    </row>
    <row r="227" ht="17" customHeight="1">
      <c r="A227" s="8" t="n">
        <v>223</v>
      </c>
      <c r="B227" s="8" t="inlineStr">
        <is>
          <t>NTF0317W-S</t>
        </is>
      </c>
      <c r="C227" s="9" t="inlineStr">
        <is>
          <t>扭捏 原创设计刺绣芭蕾风蓬蓬感宽松休闲裤 甜美白色褶皱花苞短裤</t>
        </is>
      </c>
      <c r="D227" s="9" t="inlineStr">
        <is>
          <t>刺绣花苞短裤</t>
        </is>
      </c>
      <c r="E227" s="8" t="inlineStr">
        <is>
          <t>S</t>
        </is>
      </c>
      <c r="F227" s="10" t="n">
        <v>268</v>
      </c>
      <c r="G227" s="58" t="n">
        <v>14</v>
      </c>
      <c r="H227" s="58" t="n">
        <v>0</v>
      </c>
      <c r="I227" s="58" t="n">
        <v>0</v>
      </c>
      <c r="J227" s="46">
        <f>G227+H227-I227</f>
        <v/>
      </c>
      <c r="K227" s="21">
        <f>IF(J227=0,"🔴缺货",IF(J227&lt;=2,"🟡低库存","🟢正常"))</f>
        <v/>
      </c>
      <c r="L227" s="8" t="inlineStr"/>
    </row>
    <row r="228" ht="17" customHeight="1">
      <c r="A228" s="4" t="n">
        <v>224</v>
      </c>
      <c r="B228" s="4" t="inlineStr">
        <is>
          <t>NTF0501A-M</t>
        </is>
      </c>
      <c r="C228" s="5" t="inlineStr">
        <is>
          <t>扭捏 拼接玫瑰法式蕾丝裙蝴蝶结绑带松紧腰 白色一片式a字半身裙</t>
        </is>
      </c>
      <c r="D228" s="5" t="inlineStr">
        <is>
          <t>白色刺绣一片式半裙</t>
        </is>
      </c>
      <c r="E228" s="4" t="inlineStr">
        <is>
          <t>M</t>
        </is>
      </c>
      <c r="F228" s="6" t="n">
        <v>368</v>
      </c>
      <c r="G228" s="58" t="n">
        <v>15</v>
      </c>
      <c r="H228" s="58" t="n">
        <v>0</v>
      </c>
      <c r="I228" s="58" t="n">
        <v>0</v>
      </c>
      <c r="J228" s="46">
        <f>G228+H228-I228</f>
        <v/>
      </c>
      <c r="K228" s="21">
        <f>IF(J228=0,"🔴缺货",IF(J228&lt;=2,"🟡低库存","🟢正常"))</f>
        <v/>
      </c>
      <c r="L228" s="4" t="inlineStr"/>
    </row>
    <row r="229" ht="17" customHeight="1">
      <c r="A229" s="8" t="n">
        <v>225</v>
      </c>
      <c r="B229" s="8" t="inlineStr">
        <is>
          <t>NTF0501A-S</t>
        </is>
      </c>
      <c r="C229" s="9" t="inlineStr">
        <is>
          <t>扭捏 拼接玫瑰法式蕾丝裙蝴蝶结绑带松紧腰 白色一片式a字半身裙</t>
        </is>
      </c>
      <c r="D229" s="9" t="inlineStr">
        <is>
          <t>白色刺绣一片式半裙</t>
        </is>
      </c>
      <c r="E229" s="8" t="inlineStr">
        <is>
          <t>S</t>
        </is>
      </c>
      <c r="F229" s="10" t="n">
        <v>368</v>
      </c>
      <c r="G229" s="58" t="n">
        <v>14</v>
      </c>
      <c r="H229" s="58" t="n">
        <v>0</v>
      </c>
      <c r="I229" s="58" t="n">
        <v>0</v>
      </c>
      <c r="J229" s="46">
        <f>G229+H229-I229</f>
        <v/>
      </c>
      <c r="K229" s="21">
        <f>IF(J229=0,"🔴缺货",IF(J229&lt;=2,"🟡低库存","🟢正常"))</f>
        <v/>
      </c>
      <c r="L229" s="8" t="inlineStr"/>
    </row>
    <row r="230" ht="17" customHeight="1">
      <c r="A230" s="4" t="n">
        <v>226</v>
      </c>
      <c r="B230" s="4" t="inlineStr">
        <is>
          <t>NTF0335-L</t>
        </is>
      </c>
      <c r="C230" s="5" t="inlineStr">
        <is>
          <t>扭捏 印花刺绣白色蕾丝多层花边半身裙可拆卸背带裙夏季 原创设计</t>
        </is>
      </c>
      <c r="D230" s="5" t="inlineStr">
        <is>
          <t>背带 半身裙</t>
        </is>
      </c>
      <c r="E230" s="4" t="inlineStr">
        <is>
          <t>L</t>
        </is>
      </c>
      <c r="F230" s="6" t="n">
        <v>518</v>
      </c>
      <c r="G230" s="58" t="n">
        <v>0</v>
      </c>
      <c r="H230" s="58" t="n">
        <v>0</v>
      </c>
      <c r="I230" s="58" t="n">
        <v>0</v>
      </c>
      <c r="J230" s="46">
        <f>G230+H230-I230</f>
        <v/>
      </c>
      <c r="K230" s="21">
        <f>IF(J230=0,"🔴缺货",IF(J230&lt;=2,"🟡低库存","🟢正常"))</f>
        <v/>
      </c>
      <c r="L230" s="4" t="inlineStr"/>
    </row>
    <row r="231" ht="17" customHeight="1">
      <c r="A231" s="8" t="n">
        <v>227</v>
      </c>
      <c r="B231" s="8" t="inlineStr">
        <is>
          <t>NTF0335-M</t>
        </is>
      </c>
      <c r="C231" s="9" t="inlineStr">
        <is>
          <t>扭捏 印花刺绣白色蕾丝多层花边半身裙可拆卸背带裙夏季 原创设计</t>
        </is>
      </c>
      <c r="D231" s="9" t="inlineStr">
        <is>
          <t>背带 半身裙</t>
        </is>
      </c>
      <c r="E231" s="8" t="inlineStr">
        <is>
          <t>M</t>
        </is>
      </c>
      <c r="F231" s="10" t="n">
        <v>518</v>
      </c>
      <c r="G231" s="58" t="n">
        <v>0</v>
      </c>
      <c r="H231" s="58" t="n">
        <v>0</v>
      </c>
      <c r="I231" s="58" t="n">
        <v>0</v>
      </c>
      <c r="J231" s="46">
        <f>G231+H231-I231</f>
        <v/>
      </c>
      <c r="K231" s="21">
        <f>IF(J231=0,"🔴缺货",IF(J231&lt;=2,"🟡低库存","🟢正常"))</f>
        <v/>
      </c>
      <c r="L231" s="8" t="inlineStr"/>
    </row>
    <row r="232" ht="17" customHeight="1">
      <c r="A232" s="4" t="n">
        <v>228</v>
      </c>
      <c r="B232" s="4" t="inlineStr">
        <is>
          <t>NTF0335-S</t>
        </is>
      </c>
      <c r="C232" s="5" t="inlineStr">
        <is>
          <t>扭捏 印花刺绣白色蕾丝多层花边半身裙可拆卸背带裙夏季 原创设计</t>
        </is>
      </c>
      <c r="D232" s="5" t="inlineStr">
        <is>
          <t>背带 半身裙</t>
        </is>
      </c>
      <c r="E232" s="4" t="inlineStr">
        <is>
          <t>S</t>
        </is>
      </c>
      <c r="F232" s="6" t="n">
        <v>518</v>
      </c>
      <c r="G232" s="58" t="n">
        <v>0</v>
      </c>
      <c r="H232" s="58" t="n">
        <v>0</v>
      </c>
      <c r="I232" s="58" t="n">
        <v>0</v>
      </c>
      <c r="J232" s="46">
        <f>G232+H232-I232</f>
        <v/>
      </c>
      <c r="K232" s="21">
        <f>IF(J232=0,"🔴缺货",IF(J232&lt;=2,"🟡低库存","🟢正常"))</f>
        <v/>
      </c>
      <c r="L232" s="4" t="inlineStr"/>
    </row>
    <row r="233" ht="17" customHeight="1">
      <c r="A233" s="8" t="n">
        <v>229</v>
      </c>
      <c r="B233" s="8" t="inlineStr">
        <is>
          <t>NTF0303-M</t>
        </is>
      </c>
      <c r="C233" s="9" t="inlineStr">
        <is>
          <t>扭捏 草裙舞女孩 / 小众设计夏威夷感度假风松紧腰沙滩印花半身裙</t>
        </is>
      </c>
      <c r="D233" s="9" t="inlineStr">
        <is>
          <t>夏威夷沙滩裙</t>
        </is>
      </c>
      <c r="E233" s="8" t="inlineStr">
        <is>
          <t>M</t>
        </is>
      </c>
      <c r="F233" s="10" t="n">
        <v>298</v>
      </c>
      <c r="G233" s="58" t="n">
        <v>5</v>
      </c>
      <c r="H233" s="58" t="n">
        <v>0</v>
      </c>
      <c r="I233" s="58" t="n">
        <v>0</v>
      </c>
      <c r="J233" s="46">
        <f>G233+H233-I233</f>
        <v/>
      </c>
      <c r="K233" s="21">
        <f>IF(J233=0,"🔴缺货",IF(J233&lt;=2,"🟡低库存","🟢正常"))</f>
        <v/>
      </c>
      <c r="L233" s="8" t="inlineStr"/>
    </row>
    <row r="234" ht="17" customHeight="1">
      <c r="A234" s="4" t="n">
        <v>230</v>
      </c>
      <c r="B234" s="4" t="inlineStr">
        <is>
          <t>NTF0303-S</t>
        </is>
      </c>
      <c r="C234" s="5" t="inlineStr">
        <is>
          <t>扭捏 草裙舞女孩 / 小众设计夏威夷感度假风松紧腰沙滩印花半身裙</t>
        </is>
      </c>
      <c r="D234" s="5" t="inlineStr">
        <is>
          <t>夏威夷沙滩裙</t>
        </is>
      </c>
      <c r="E234" s="4" t="inlineStr">
        <is>
          <t>S</t>
        </is>
      </c>
      <c r="F234" s="6" t="n">
        <v>298</v>
      </c>
      <c r="G234" s="58" t="n">
        <v>4</v>
      </c>
      <c r="H234" s="58" t="n">
        <v>0</v>
      </c>
      <c r="I234" s="58" t="n">
        <v>0</v>
      </c>
      <c r="J234" s="46">
        <f>G234+H234-I234</f>
        <v/>
      </c>
      <c r="K234" s="21">
        <f>IF(J234=0,"🔴缺货",IF(J234&lt;=2,"🟡低库存","🟢正常"))</f>
        <v/>
      </c>
      <c r="L234" s="4" t="inlineStr"/>
    </row>
    <row r="235" ht="17" customHeight="1">
      <c r="A235" s="8" t="n">
        <v>231</v>
      </c>
      <c r="B235" s="8" t="inlineStr">
        <is>
          <t>NTF0315-L</t>
        </is>
      </c>
      <c r="C235" s="9" t="inlineStr">
        <is>
          <t>扭捏 荆棘玫瑰书本刺绣小翻领花边绑带衬衫 白色短袖上衣女夏季</t>
        </is>
      </c>
      <c r="D235" s="9" t="inlineStr">
        <is>
          <t>刺绣绑带小衫</t>
        </is>
      </c>
      <c r="E235" s="8" t="inlineStr">
        <is>
          <t>L</t>
        </is>
      </c>
      <c r="F235" s="10" t="n">
        <v>328</v>
      </c>
      <c r="G235" s="58" t="n">
        <v>2</v>
      </c>
      <c r="H235" s="58" t="n">
        <v>0</v>
      </c>
      <c r="I235" s="58" t="n">
        <v>0</v>
      </c>
      <c r="J235" s="46">
        <f>G235+H235-I235</f>
        <v/>
      </c>
      <c r="K235" s="21">
        <f>IF(J235=0,"🔴缺货",IF(J235&lt;=2,"🟡低库存","🟢正常"))</f>
        <v/>
      </c>
      <c r="L235" s="8" t="inlineStr"/>
    </row>
    <row r="236" ht="17" customHeight="1">
      <c r="A236" s="4" t="n">
        <v>232</v>
      </c>
      <c r="B236" s="4" t="inlineStr">
        <is>
          <t>NTF0315-M</t>
        </is>
      </c>
      <c r="C236" s="5" t="inlineStr">
        <is>
          <t>扭捏 荆棘玫瑰书本刺绣小翻领花边绑带衬衫 白色短袖上衣女夏季</t>
        </is>
      </c>
      <c r="D236" s="5" t="inlineStr">
        <is>
          <t>刺绣绑带小衫</t>
        </is>
      </c>
      <c r="E236" s="4" t="inlineStr">
        <is>
          <t>M</t>
        </is>
      </c>
      <c r="F236" s="6" t="n">
        <v>328</v>
      </c>
      <c r="G236" s="58" t="n">
        <v>2</v>
      </c>
      <c r="H236" s="58" t="n">
        <v>0</v>
      </c>
      <c r="I236" s="58" t="n">
        <v>0</v>
      </c>
      <c r="J236" s="46">
        <f>G236+H236-I236</f>
        <v/>
      </c>
      <c r="K236" s="21">
        <f>IF(J236=0,"🔴缺货",IF(J236&lt;=2,"🟡低库存","🟢正常"))</f>
        <v/>
      </c>
      <c r="L236" s="4" t="inlineStr"/>
    </row>
    <row r="237" ht="17" customHeight="1">
      <c r="A237" s="8" t="n">
        <v>233</v>
      </c>
      <c r="B237" s="8" t="inlineStr">
        <is>
          <t>NTF0315-S</t>
        </is>
      </c>
      <c r="C237" s="9" t="inlineStr">
        <is>
          <t>扭捏 荆棘玫瑰书本刺绣小翻领花边绑带衬衫 白色短袖上衣女夏季</t>
        </is>
      </c>
      <c r="D237" s="9" t="inlineStr">
        <is>
          <t>刺绣绑带小衫</t>
        </is>
      </c>
      <c r="E237" s="8" t="inlineStr">
        <is>
          <t>S</t>
        </is>
      </c>
      <c r="F237" s="10" t="n">
        <v>328</v>
      </c>
      <c r="G237" s="58" t="n">
        <v>2</v>
      </c>
      <c r="H237" s="58" t="n">
        <v>0</v>
      </c>
      <c r="I237" s="58" t="n">
        <v>0</v>
      </c>
      <c r="J237" s="46">
        <f>G237+H237-I237</f>
        <v/>
      </c>
      <c r="K237" s="21">
        <f>IF(J237=0,"🔴缺货",IF(J237&lt;=2,"🟡低库存","🟢正常"))</f>
        <v/>
      </c>
      <c r="L237" s="8" t="inlineStr"/>
    </row>
    <row r="238" ht="17" customHeight="1">
      <c r="A238" s="4" t="n">
        <v>234</v>
      </c>
      <c r="B238" s="4" t="inlineStr">
        <is>
          <t>NTF0301C-M</t>
        </is>
      </c>
      <c r="C238" s="5" t="inlineStr">
        <is>
          <t>扭捏 青苹果印花修身显瘦圆领长袖T恤女夏 弹力网纱打底衫上衣</t>
        </is>
      </c>
      <c r="D238" s="5" t="inlineStr">
        <is>
          <t>半高领青苹果网纱上衣</t>
        </is>
      </c>
      <c r="E238" s="4" t="inlineStr">
        <is>
          <t>M</t>
        </is>
      </c>
      <c r="F238" s="6" t="n">
        <v>168</v>
      </c>
      <c r="G238" s="58" t="n">
        <v>6</v>
      </c>
      <c r="H238" s="58" t="n">
        <v>0</v>
      </c>
      <c r="I238" s="58" t="n">
        <v>0</v>
      </c>
      <c r="J238" s="46">
        <f>G238+H238-I238</f>
        <v/>
      </c>
      <c r="K238" s="21">
        <f>IF(J238=0,"🔴缺货",IF(J238&lt;=2,"🟡低库存","🟢正常"))</f>
        <v/>
      </c>
      <c r="L238" s="4" t="inlineStr"/>
    </row>
    <row r="239" ht="17" customHeight="1">
      <c r="A239" s="8" t="n">
        <v>235</v>
      </c>
      <c r="B239" s="8" t="inlineStr">
        <is>
          <t>NTF0301C-S</t>
        </is>
      </c>
      <c r="C239" s="9" t="inlineStr">
        <is>
          <t>扭捏 青苹果印花修身显瘦圆领长袖T恤女夏 弹力网纱打底衫上衣</t>
        </is>
      </c>
      <c r="D239" s="9" t="inlineStr">
        <is>
          <t>半高领青苹果网纱上衣</t>
        </is>
      </c>
      <c r="E239" s="8" t="inlineStr">
        <is>
          <t>S</t>
        </is>
      </c>
      <c r="F239" s="10" t="n">
        <v>168</v>
      </c>
      <c r="G239" s="58" t="n">
        <v>8</v>
      </c>
      <c r="H239" s="58" t="n">
        <v>0</v>
      </c>
      <c r="I239" s="58" t="n">
        <v>0</v>
      </c>
      <c r="J239" s="46">
        <f>G239+H239-I239</f>
        <v/>
      </c>
      <c r="K239" s="21">
        <f>IF(J239=0,"🔴缺货",IF(J239&lt;=2,"🟡低库存","🟢正常"))</f>
        <v/>
      </c>
      <c r="L239" s="8" t="inlineStr"/>
    </row>
    <row r="240" ht="17" customHeight="1">
      <c r="A240" s="4" t="n">
        <v>236</v>
      </c>
      <c r="B240" s="4" t="inlineStr">
        <is>
          <t>NTF0301B-M</t>
        </is>
      </c>
      <c r="C240" s="5" t="inlineStr">
        <is>
          <t>扭捏 青苹果印花修身显瘦圆领长袖T恤女夏 弹力网纱打底衫上衣</t>
        </is>
      </c>
      <c r="D240" s="5" t="inlineStr">
        <is>
          <t>圆领青苹果网纱上衣</t>
        </is>
      </c>
      <c r="E240" s="4" t="inlineStr">
        <is>
          <t>M</t>
        </is>
      </c>
      <c r="F240" s="6" t="n">
        <v>168</v>
      </c>
      <c r="G240" s="58" t="n">
        <v>0</v>
      </c>
      <c r="H240" s="58" t="n">
        <v>0</v>
      </c>
      <c r="I240" s="58" t="n">
        <v>0</v>
      </c>
      <c r="J240" s="46">
        <f>G240+H240-I240</f>
        <v/>
      </c>
      <c r="K240" s="21">
        <f>IF(J240=0,"🔴缺货",IF(J240&lt;=2,"🟡低库存","🟢正常"))</f>
        <v/>
      </c>
      <c r="L240" s="4" t="inlineStr"/>
    </row>
    <row r="241" ht="17" customHeight="1">
      <c r="A241" s="8" t="n">
        <v>237</v>
      </c>
      <c r="B241" s="8" t="inlineStr">
        <is>
          <t>NTF0301B-S</t>
        </is>
      </c>
      <c r="C241" s="9" t="inlineStr">
        <is>
          <t>扭捏 青苹果印花修身显瘦圆领长袖T恤女夏 弹力网纱打底衫上衣</t>
        </is>
      </c>
      <c r="D241" s="9" t="inlineStr">
        <is>
          <t>圆领青苹果网纱上衣</t>
        </is>
      </c>
      <c r="E241" s="8" t="inlineStr">
        <is>
          <t>S</t>
        </is>
      </c>
      <c r="F241" s="10" t="n">
        <v>168</v>
      </c>
      <c r="G241" s="58" t="n">
        <v>0</v>
      </c>
      <c r="H241" s="58" t="n">
        <v>0</v>
      </c>
      <c r="I241" s="58" t="n">
        <v>0</v>
      </c>
      <c r="J241" s="46">
        <f>G241+H241-I241</f>
        <v/>
      </c>
      <c r="K241" s="21">
        <f>IF(J241=0,"🔴缺货",IF(J241&lt;=2,"🟡低库存","🟢正常"))</f>
        <v/>
      </c>
      <c r="L241" s="8" t="inlineStr"/>
    </row>
    <row r="242" ht="17" customHeight="1">
      <c r="A242" s="4" t="n">
        <v>238</v>
      </c>
      <c r="B242" s="4" t="inlineStr">
        <is>
          <t>NTF0506W-M</t>
        </is>
      </c>
      <c r="C242" s="5" t="inlineStr">
        <is>
          <t>扭捏 NIU NIE 花的心跳 原创小众设计刺绣绑带宽松法式白色衬衫</t>
        </is>
      </c>
      <c r="D242" s="5" t="inlineStr">
        <is>
          <t>白色刺绣衬衫</t>
        </is>
      </c>
      <c r="E242" s="4" t="inlineStr">
        <is>
          <t>M</t>
        </is>
      </c>
      <c r="F242" s="6" t="n">
        <v>328</v>
      </c>
      <c r="G242" s="58" t="n">
        <v>0</v>
      </c>
      <c r="H242" s="58" t="n">
        <v>0</v>
      </c>
      <c r="I242" s="58" t="n">
        <v>0</v>
      </c>
      <c r="J242" s="46">
        <f>G242+H242-I242</f>
        <v/>
      </c>
      <c r="K242" s="21">
        <f>IF(J242=0,"🔴缺货",IF(J242&lt;=2,"🟡低库存","🟢正常"))</f>
        <v/>
      </c>
      <c r="L242" s="4" t="inlineStr"/>
    </row>
    <row r="243" ht="17" customHeight="1">
      <c r="A243" s="8" t="n">
        <v>239</v>
      </c>
      <c r="B243" s="8" t="inlineStr">
        <is>
          <t>NTF0506W-S</t>
        </is>
      </c>
      <c r="C243" s="9" t="inlineStr">
        <is>
          <t>扭捏 NIU NIE 花的心跳 原创小众设计刺绣绑带宽松法式白色衬衫</t>
        </is>
      </c>
      <c r="D243" s="9" t="inlineStr">
        <is>
          <t>白色刺绣衬衫</t>
        </is>
      </c>
      <c r="E243" s="8" t="inlineStr">
        <is>
          <t>S</t>
        </is>
      </c>
      <c r="F243" s="10" t="n">
        <v>328</v>
      </c>
      <c r="G243" s="58" t="n">
        <v>0</v>
      </c>
      <c r="H243" s="58" t="n">
        <v>0</v>
      </c>
      <c r="I243" s="58" t="n">
        <v>0</v>
      </c>
      <c r="J243" s="46">
        <f>G243+H243-I243</f>
        <v/>
      </c>
      <c r="K243" s="21">
        <f>IF(J243=0,"🔴缺货",IF(J243&lt;=2,"🟡低库存","🟢正常"))</f>
        <v/>
      </c>
      <c r="L243" s="8" t="inlineStr"/>
    </row>
    <row r="244" ht="17" customHeight="1">
      <c r="A244" s="4" t="n">
        <v>240</v>
      </c>
      <c r="B244" s="4" t="inlineStr">
        <is>
          <t>NTF0311W-L</t>
        </is>
      </c>
      <c r="C244" s="5" t="inlineStr">
        <is>
          <t>扭捏 少女的祈祷 花边拼接蛋糕a字小短裙白色半身裙 防走光内衬</t>
        </is>
      </c>
      <c r="D244" s="5" t="inlineStr">
        <is>
          <t>白色拼接短裙</t>
        </is>
      </c>
      <c r="E244" s="4" t="inlineStr">
        <is>
          <t>L</t>
        </is>
      </c>
      <c r="F244" s="6" t="n">
        <v>358</v>
      </c>
      <c r="G244" s="58" t="n">
        <v>0</v>
      </c>
      <c r="H244" s="58" t="n">
        <v>0</v>
      </c>
      <c r="I244" s="58" t="n">
        <v>0</v>
      </c>
      <c r="J244" s="46">
        <f>G244+H244-I244</f>
        <v/>
      </c>
      <c r="K244" s="21">
        <f>IF(J244=0,"🔴缺货",IF(J244&lt;=2,"🟡低库存","🟢正常"))</f>
        <v/>
      </c>
      <c r="L244" s="4" t="inlineStr"/>
    </row>
    <row r="245" ht="17" customHeight="1">
      <c r="A245" s="8" t="n">
        <v>241</v>
      </c>
      <c r="B245" s="8" t="inlineStr">
        <is>
          <t>NTF0311W-M</t>
        </is>
      </c>
      <c r="C245" s="9" t="inlineStr">
        <is>
          <t>扭捏 少女的祈祷 花边拼接蛋糕a字小短裙白色半身裙 防走光内衬</t>
        </is>
      </c>
      <c r="D245" s="9" t="inlineStr">
        <is>
          <t>白色拼接短裙</t>
        </is>
      </c>
      <c r="E245" s="8" t="inlineStr">
        <is>
          <t>M</t>
        </is>
      </c>
      <c r="F245" s="10" t="n">
        <v>358</v>
      </c>
      <c r="G245" s="58" t="n">
        <v>0</v>
      </c>
      <c r="H245" s="58" t="n">
        <v>0</v>
      </c>
      <c r="I245" s="58" t="n">
        <v>0</v>
      </c>
      <c r="J245" s="46">
        <f>G245+H245-I245</f>
        <v/>
      </c>
      <c r="K245" s="21">
        <f>IF(J245=0,"🔴缺货",IF(J245&lt;=2,"🟡低库存","🟢正常"))</f>
        <v/>
      </c>
      <c r="L245" s="8" t="inlineStr"/>
    </row>
    <row r="246" ht="17" customHeight="1">
      <c r="A246" s="4" t="n">
        <v>242</v>
      </c>
      <c r="B246" s="4" t="inlineStr">
        <is>
          <t>NTF0311W-S</t>
        </is>
      </c>
      <c r="C246" s="5" t="inlineStr">
        <is>
          <t>扭捏 少女的祈祷 花边拼接蛋糕a字小短裙白色半身裙 防走光内衬</t>
        </is>
      </c>
      <c r="D246" s="5" t="inlineStr">
        <is>
          <t>白色拼接短裙</t>
        </is>
      </c>
      <c r="E246" s="4" t="inlineStr">
        <is>
          <t>S</t>
        </is>
      </c>
      <c r="F246" s="6" t="n">
        <v>358</v>
      </c>
      <c r="G246" s="58" t="n">
        <v>0</v>
      </c>
      <c r="H246" s="58" t="n">
        <v>0</v>
      </c>
      <c r="I246" s="58" t="n">
        <v>0</v>
      </c>
      <c r="J246" s="46">
        <f>G246+H246-I246</f>
        <v/>
      </c>
      <c r="K246" s="21">
        <f>IF(J246=0,"🔴缺货",IF(J246&lt;=2,"🟡低库存","🟢正常"))</f>
        <v/>
      </c>
      <c r="L246" s="4" t="inlineStr"/>
    </row>
    <row r="247" ht="17" customHeight="1">
      <c r="A247" s="8" t="n">
        <v>243</v>
      </c>
      <c r="B247" s="8" t="inlineStr">
        <is>
          <t>NTF0515B-L</t>
        </is>
      </c>
      <c r="C247" s="9" t="inlineStr">
        <is>
          <t>扭捏 浅蓝色小兔子蘑菇刺绣基础百搭短袖上衣宽松弹力针织T恤女夏</t>
        </is>
      </c>
      <c r="D247" s="9" t="inlineStr">
        <is>
          <t>浅蓝色刺绣T恤</t>
        </is>
      </c>
      <c r="E247" s="8" t="inlineStr">
        <is>
          <t>L</t>
        </is>
      </c>
      <c r="F247" s="10" t="n">
        <v>198</v>
      </c>
      <c r="G247" s="58" t="n">
        <v>3</v>
      </c>
      <c r="H247" s="58" t="n">
        <v>0</v>
      </c>
      <c r="I247" s="58" t="n">
        <v>0</v>
      </c>
      <c r="J247" s="46">
        <f>G247+H247-I247</f>
        <v/>
      </c>
      <c r="K247" s="21">
        <f>IF(J247=0,"🔴缺货",IF(J247&lt;=2,"🟡低库存","🟢正常"))</f>
        <v/>
      </c>
      <c r="L247" s="8" t="inlineStr"/>
    </row>
    <row r="248" ht="17" customHeight="1">
      <c r="A248" s="4" t="n">
        <v>244</v>
      </c>
      <c r="B248" s="4" t="inlineStr">
        <is>
          <t>NTF0515B-M</t>
        </is>
      </c>
      <c r="C248" s="5" t="inlineStr">
        <is>
          <t>扭捏 浅蓝色小兔子蘑菇刺绣基础百搭短袖上衣宽松弹力针织T恤女夏</t>
        </is>
      </c>
      <c r="D248" s="5" t="inlineStr">
        <is>
          <t>浅蓝色刺绣T恤</t>
        </is>
      </c>
      <c r="E248" s="4" t="inlineStr">
        <is>
          <t>M</t>
        </is>
      </c>
      <c r="F248" s="6" t="n">
        <v>198</v>
      </c>
      <c r="G248" s="58" t="n">
        <v>13</v>
      </c>
      <c r="H248" s="58" t="n">
        <v>0</v>
      </c>
      <c r="I248" s="58" t="n">
        <v>0</v>
      </c>
      <c r="J248" s="46">
        <f>G248+H248-I248</f>
        <v/>
      </c>
      <c r="K248" s="21">
        <f>IF(J248=0,"🔴缺货",IF(J248&lt;=2,"🟡低库存","🟢正常"))</f>
        <v/>
      </c>
      <c r="L248" s="4" t="inlineStr"/>
    </row>
    <row r="249" ht="17" customHeight="1">
      <c r="A249" s="8" t="n">
        <v>245</v>
      </c>
      <c r="B249" s="8" t="inlineStr">
        <is>
          <t>NTF0515B-S</t>
        </is>
      </c>
      <c r="C249" s="9" t="inlineStr">
        <is>
          <t>扭捏 浅蓝色小兔子蘑菇刺绣基础百搭短袖上衣宽松弹力针织T恤女夏</t>
        </is>
      </c>
      <c r="D249" s="9" t="inlineStr">
        <is>
          <t>浅蓝色刺绣T恤</t>
        </is>
      </c>
      <c r="E249" s="8" t="inlineStr">
        <is>
          <t>S</t>
        </is>
      </c>
      <c r="F249" s="10" t="n">
        <v>198</v>
      </c>
      <c r="G249" s="58" t="n">
        <v>14</v>
      </c>
      <c r="H249" s="58" t="n">
        <v>0</v>
      </c>
      <c r="I249" s="58" t="n">
        <v>0</v>
      </c>
      <c r="J249" s="46">
        <f>G249+H249-I249</f>
        <v/>
      </c>
      <c r="K249" s="21">
        <f>IF(J249=0,"🔴缺货",IF(J249&lt;=2,"🟡低库存","🟢正常"))</f>
        <v/>
      </c>
      <c r="L249" s="8" t="inlineStr"/>
    </row>
    <row r="250" ht="17" customHeight="1">
      <c r="A250" s="4" t="n">
        <v>246</v>
      </c>
      <c r="B250" s="4" t="inlineStr">
        <is>
          <t>NTF0307A-L</t>
        </is>
      </c>
      <c r="C250" s="5" t="inlineStr">
        <is>
          <t>扭捏 可爱小猫印花蕾丝花边少女感百搭灰色圆领短袖T恤上衣</t>
        </is>
      </c>
      <c r="D250" s="5" t="inlineStr">
        <is>
          <t>灰色小猫T恤</t>
        </is>
      </c>
      <c r="E250" s="4" t="inlineStr">
        <is>
          <t>L</t>
        </is>
      </c>
      <c r="F250" s="6" t="n">
        <v>198</v>
      </c>
      <c r="G250" s="58" t="n">
        <v>3</v>
      </c>
      <c r="H250" s="58" t="n">
        <v>0</v>
      </c>
      <c r="I250" s="58" t="n">
        <v>0</v>
      </c>
      <c r="J250" s="46">
        <f>G250+H250-I250</f>
        <v/>
      </c>
      <c r="K250" s="21">
        <f>IF(J250=0,"🔴缺货",IF(J250&lt;=2,"🟡低库存","🟢正常"))</f>
        <v/>
      </c>
      <c r="L250" s="4" t="inlineStr"/>
    </row>
    <row r="251" ht="17" customHeight="1">
      <c r="A251" s="8" t="n">
        <v>247</v>
      </c>
      <c r="B251" s="8" t="inlineStr">
        <is>
          <t>NTF0307A-M</t>
        </is>
      </c>
      <c r="C251" s="9" t="inlineStr">
        <is>
          <t>扭捏 可爱小猫印花蕾丝花边少女感百搭灰色圆领短袖T恤上衣</t>
        </is>
      </c>
      <c r="D251" s="9" t="inlineStr">
        <is>
          <t>灰色小猫T恤</t>
        </is>
      </c>
      <c r="E251" s="8" t="inlineStr">
        <is>
          <t>M</t>
        </is>
      </c>
      <c r="F251" s="10" t="n">
        <v>198</v>
      </c>
      <c r="G251" s="58" t="n">
        <v>16</v>
      </c>
      <c r="H251" s="58" t="n">
        <v>0</v>
      </c>
      <c r="I251" s="58" t="n">
        <v>0</v>
      </c>
      <c r="J251" s="46">
        <f>G251+H251-I251</f>
        <v/>
      </c>
      <c r="K251" s="21">
        <f>IF(J251=0,"🔴缺货",IF(J251&lt;=2,"🟡低库存","🟢正常"))</f>
        <v/>
      </c>
      <c r="L251" s="8" t="inlineStr"/>
    </row>
    <row r="252" ht="17" customHeight="1">
      <c r="A252" s="4" t="n">
        <v>248</v>
      </c>
      <c r="B252" s="4" t="inlineStr">
        <is>
          <t>NTF0307A-S</t>
        </is>
      </c>
      <c r="C252" s="5" t="inlineStr">
        <is>
          <t>扭捏 可爱小猫印花蕾丝花边少女感百搭灰色圆领短袖T恤上衣</t>
        </is>
      </c>
      <c r="D252" s="5" t="inlineStr">
        <is>
          <t>灰色小猫T恤</t>
        </is>
      </c>
      <c r="E252" s="4" t="inlineStr">
        <is>
          <t>S</t>
        </is>
      </c>
      <c r="F252" s="6" t="n">
        <v>198</v>
      </c>
      <c r="G252" s="58" t="n">
        <v>11</v>
      </c>
      <c r="H252" s="58" t="n">
        <v>0</v>
      </c>
      <c r="I252" s="58" t="n">
        <v>0</v>
      </c>
      <c r="J252" s="46">
        <f>G252+H252-I252</f>
        <v/>
      </c>
      <c r="K252" s="21">
        <f>IF(J252=0,"🔴缺货",IF(J252&lt;=2,"🟡低库存","🟢正常"))</f>
        <v/>
      </c>
      <c r="L252" s="4" t="inlineStr"/>
    </row>
    <row r="253" ht="17" customHeight="1">
      <c r="A253" s="8" t="n">
        <v>249</v>
      </c>
      <c r="B253" s="8" t="inlineStr">
        <is>
          <t>NTF0512WB-M</t>
        </is>
      </c>
      <c r="C253" s="9" t="inlineStr">
        <is>
          <t>扭捏 法式设计感度假风仙女裙收腰显瘦粉蓝色碎花连衣裙女夏季</t>
        </is>
      </c>
      <c r="D253" s="9" t="inlineStr">
        <is>
          <t>粉蓝色碎花裙</t>
        </is>
      </c>
      <c r="E253" s="8" t="inlineStr">
        <is>
          <t>M</t>
        </is>
      </c>
      <c r="F253" s="10" t="n">
        <v>488</v>
      </c>
      <c r="G253" s="58" t="n">
        <v>3</v>
      </c>
      <c r="H253" s="58" t="n">
        <v>0</v>
      </c>
      <c r="I253" s="58" t="n">
        <v>0</v>
      </c>
      <c r="J253" s="46">
        <f>G253+H253-I253</f>
        <v/>
      </c>
      <c r="K253" s="21">
        <f>IF(J253=0,"🔴缺货",IF(J253&lt;=2,"🟡低库存","🟢正常"))</f>
        <v/>
      </c>
      <c r="L253" s="8" t="inlineStr"/>
    </row>
    <row r="254" ht="17" customHeight="1">
      <c r="A254" s="4" t="n">
        <v>250</v>
      </c>
      <c r="B254" s="4" t="inlineStr">
        <is>
          <t>NTF0512WB-S</t>
        </is>
      </c>
      <c r="C254" s="5" t="inlineStr">
        <is>
          <t>扭捏 法式设计感度假风仙女裙收腰显瘦粉蓝色碎花连衣裙女夏季</t>
        </is>
      </c>
      <c r="D254" s="5" t="inlineStr">
        <is>
          <t>粉蓝色碎花裙</t>
        </is>
      </c>
      <c r="E254" s="4" t="inlineStr">
        <is>
          <t>S</t>
        </is>
      </c>
      <c r="F254" s="6" t="n">
        <v>488</v>
      </c>
      <c r="G254" s="58" t="n">
        <v>8</v>
      </c>
      <c r="H254" s="58" t="n">
        <v>0</v>
      </c>
      <c r="I254" s="58" t="n">
        <v>0</v>
      </c>
      <c r="J254" s="46">
        <f>G254+H254-I254</f>
        <v/>
      </c>
      <c r="K254" s="21">
        <f>IF(J254=0,"🔴缺货",IF(J254&lt;=2,"🟡低库存","🟢正常"))</f>
        <v/>
      </c>
      <c r="L254" s="4" t="inlineStr"/>
    </row>
    <row r="255" ht="17" customHeight="1">
      <c r="A255" s="8" t="n">
        <v>251</v>
      </c>
      <c r="B255" s="8" t="inlineStr">
        <is>
          <t>NTF0305W-L</t>
        </is>
      </c>
      <c r="C255" s="9" t="inlineStr">
        <is>
          <t>扭捏 真丝棉混纺轻薄法式白衬衫 玫瑰花边荷叶领复古宽松长袖上衣</t>
        </is>
      </c>
      <c r="D255" s="9" t="inlineStr">
        <is>
          <t>白色花边衬衫</t>
        </is>
      </c>
      <c r="E255" s="8" t="inlineStr">
        <is>
          <t>L</t>
        </is>
      </c>
      <c r="F255" s="10" t="n">
        <v>428</v>
      </c>
      <c r="G255" s="58" t="n">
        <v>0</v>
      </c>
      <c r="H255" s="58" t="n">
        <v>0</v>
      </c>
      <c r="I255" s="58" t="n">
        <v>0</v>
      </c>
      <c r="J255" s="46">
        <f>G255+H255-I255</f>
        <v/>
      </c>
      <c r="K255" s="21">
        <f>IF(J255=0,"🔴缺货",IF(J255&lt;=2,"🟡低库存","🟢正常"))</f>
        <v/>
      </c>
      <c r="L255" s="8" t="inlineStr"/>
    </row>
    <row r="256" ht="17" customHeight="1">
      <c r="A256" s="4" t="n">
        <v>252</v>
      </c>
      <c r="B256" s="4" t="inlineStr">
        <is>
          <t>NTF0305W-M</t>
        </is>
      </c>
      <c r="C256" s="5" t="inlineStr">
        <is>
          <t>扭捏 真丝棉混纺轻薄法式白衬衫 玫瑰花边荷叶领复古宽松长袖上衣</t>
        </is>
      </c>
      <c r="D256" s="5" t="inlineStr">
        <is>
          <t>白色花边衬衫</t>
        </is>
      </c>
      <c r="E256" s="4" t="inlineStr">
        <is>
          <t>M</t>
        </is>
      </c>
      <c r="F256" s="6" t="n">
        <v>428</v>
      </c>
      <c r="G256" s="58" t="n">
        <v>0</v>
      </c>
      <c r="H256" s="58" t="n">
        <v>0</v>
      </c>
      <c r="I256" s="58" t="n">
        <v>0</v>
      </c>
      <c r="J256" s="46">
        <f>G256+H256-I256</f>
        <v/>
      </c>
      <c r="K256" s="21">
        <f>IF(J256=0,"🔴缺货",IF(J256&lt;=2,"🟡低库存","🟢正常"))</f>
        <v/>
      </c>
      <c r="L256" s="4" t="inlineStr"/>
    </row>
    <row r="257" ht="17" customHeight="1">
      <c r="A257" s="8" t="n">
        <v>253</v>
      </c>
      <c r="B257" s="8" t="inlineStr">
        <is>
          <t>NTF0305W-S</t>
        </is>
      </c>
      <c r="C257" s="9" t="inlineStr">
        <is>
          <t>扭捏 真丝棉混纺轻薄法式白衬衫 玫瑰花边荷叶领复古宽松长袖上衣</t>
        </is>
      </c>
      <c r="D257" s="9" t="inlineStr">
        <is>
          <t>白色花边衬衫</t>
        </is>
      </c>
      <c r="E257" s="8" t="inlineStr">
        <is>
          <t>S</t>
        </is>
      </c>
      <c r="F257" s="10" t="n">
        <v>428</v>
      </c>
      <c r="G257" s="58" t="n">
        <v>0</v>
      </c>
      <c r="H257" s="58" t="n">
        <v>0</v>
      </c>
      <c r="I257" s="58" t="n">
        <v>0</v>
      </c>
      <c r="J257" s="46">
        <f>G257+H257-I257</f>
        <v/>
      </c>
      <c r="K257" s="21">
        <f>IF(J257=0,"🔴缺货",IF(J257&lt;=2,"🟡低库存","🟢正常"))</f>
        <v/>
      </c>
      <c r="L257" s="8" t="inlineStr"/>
    </row>
    <row r="258" ht="17" customHeight="1">
      <c r="A258" s="4" t="n">
        <v>254</v>
      </c>
      <c r="B258" s="4" t="inlineStr">
        <is>
          <t>NTF0335A-L</t>
        </is>
      </c>
      <c r="C258" s="5" t="inlineStr">
        <is>
          <t>扭捏 印花刺绣白色蕾丝多层花边半身裙可拆卸背带裙夏季 原创设计</t>
        </is>
      </c>
      <c r="D258" s="5" t="inlineStr">
        <is>
          <t>可拆卸背带</t>
        </is>
      </c>
      <c r="E258" s="4" t="inlineStr">
        <is>
          <t>L</t>
        </is>
      </c>
      <c r="F258" s="6" t="n">
        <v>128</v>
      </c>
      <c r="G258" s="58" t="n">
        <v>6</v>
      </c>
      <c r="H258" s="58" t="n">
        <v>0</v>
      </c>
      <c r="I258" s="58" t="n">
        <v>0</v>
      </c>
      <c r="J258" s="46">
        <f>G258+H258-I258</f>
        <v/>
      </c>
      <c r="K258" s="21">
        <f>IF(J258=0,"🔴缺货",IF(J258&lt;=2,"🟡低库存","🟢正常"))</f>
        <v/>
      </c>
      <c r="L258" s="4" t="inlineStr"/>
    </row>
    <row r="259" ht="17" customHeight="1">
      <c r="A259" s="8" t="n">
        <v>255</v>
      </c>
      <c r="B259" s="8" t="inlineStr">
        <is>
          <t>NTF0335A-M</t>
        </is>
      </c>
      <c r="C259" s="9" t="inlineStr">
        <is>
          <t>扭捏 印花刺绣白色蕾丝多层花边半身裙可拆卸背带裙夏季 原创设计</t>
        </is>
      </c>
      <c r="D259" s="9" t="inlineStr">
        <is>
          <t>可拆卸背带</t>
        </is>
      </c>
      <c r="E259" s="8" t="inlineStr">
        <is>
          <t>M</t>
        </is>
      </c>
      <c r="F259" s="10" t="n">
        <v>128</v>
      </c>
      <c r="G259" s="58" t="n">
        <v>2</v>
      </c>
      <c r="H259" s="58" t="n">
        <v>0</v>
      </c>
      <c r="I259" s="58" t="n">
        <v>0</v>
      </c>
      <c r="J259" s="46">
        <f>G259+H259-I259</f>
        <v/>
      </c>
      <c r="K259" s="21">
        <f>IF(J259=0,"🔴缺货",IF(J259&lt;=2,"🟡低库存","🟢正常"))</f>
        <v/>
      </c>
      <c r="L259" s="8" t="inlineStr"/>
    </row>
    <row r="260" ht="17" customHeight="1">
      <c r="A260" s="4" t="n">
        <v>256</v>
      </c>
      <c r="B260" s="4" t="inlineStr">
        <is>
          <t>NTF0335A-S</t>
        </is>
      </c>
      <c r="C260" s="5" t="inlineStr">
        <is>
          <t>扭捏 印花刺绣白色蕾丝多层花边半身裙可拆卸背带裙夏季 原创设计</t>
        </is>
      </c>
      <c r="D260" s="5" t="inlineStr">
        <is>
          <t>可拆卸背带</t>
        </is>
      </c>
      <c r="E260" s="4" t="inlineStr">
        <is>
          <t>S</t>
        </is>
      </c>
      <c r="F260" s="6" t="n">
        <v>128</v>
      </c>
      <c r="G260" s="58" t="n">
        <v>10</v>
      </c>
      <c r="H260" s="58" t="n">
        <v>0</v>
      </c>
      <c r="I260" s="58" t="n">
        <v>0</v>
      </c>
      <c r="J260" s="46">
        <f>G260+H260-I260</f>
        <v/>
      </c>
      <c r="K260" s="21">
        <f>IF(J260=0,"🔴缺货",IF(J260&lt;=2,"🟡低库存","🟢正常"))</f>
        <v/>
      </c>
      <c r="L260" s="4" t="inlineStr"/>
    </row>
    <row r="261" ht="17" customHeight="1">
      <c r="A261" s="8" t="n">
        <v>257</v>
      </c>
      <c r="B261" s="8" t="inlineStr">
        <is>
          <t>NTF0335B-L</t>
        </is>
      </c>
      <c r="C261" s="9" t="inlineStr">
        <is>
          <t>扭捏 印花刺绣白色蕾丝多层花边半身裙可拆卸背带裙夏季 原创设计</t>
        </is>
      </c>
      <c r="D261" s="9" t="inlineStr">
        <is>
          <t>多层花边半身裙</t>
        </is>
      </c>
      <c r="E261" s="8" t="inlineStr">
        <is>
          <t>L</t>
        </is>
      </c>
      <c r="F261" s="10" t="n">
        <v>398</v>
      </c>
      <c r="G261" s="58" t="n">
        <v>13</v>
      </c>
      <c r="H261" s="58" t="n">
        <v>0</v>
      </c>
      <c r="I261" s="58" t="n">
        <v>0</v>
      </c>
      <c r="J261" s="46">
        <f>G261+H261-I261</f>
        <v/>
      </c>
      <c r="K261" s="21">
        <f>IF(J261=0,"🔴缺货",IF(J261&lt;=2,"🟡低库存","🟢正常"))</f>
        <v/>
      </c>
      <c r="L261" s="8" t="inlineStr"/>
    </row>
    <row r="262" ht="17" customHeight="1">
      <c r="A262" s="4" t="n">
        <v>258</v>
      </c>
      <c r="B262" s="4" t="inlineStr">
        <is>
          <t>NTF0335B-M</t>
        </is>
      </c>
      <c r="C262" s="5" t="inlineStr">
        <is>
          <t>扭捏 印花刺绣白色蕾丝多层花边半身裙可拆卸背带裙夏季 原创设计</t>
        </is>
      </c>
      <c r="D262" s="5" t="inlineStr">
        <is>
          <t>多层花边半身裙</t>
        </is>
      </c>
      <c r="E262" s="4" t="inlineStr">
        <is>
          <t>M</t>
        </is>
      </c>
      <c r="F262" s="6" t="n">
        <v>398</v>
      </c>
      <c r="G262" s="58" t="n">
        <v>8</v>
      </c>
      <c r="H262" s="58" t="n">
        <v>0</v>
      </c>
      <c r="I262" s="58" t="n">
        <v>0</v>
      </c>
      <c r="J262" s="46">
        <f>G262+H262-I262</f>
        <v/>
      </c>
      <c r="K262" s="21">
        <f>IF(J262=0,"🔴缺货",IF(J262&lt;=2,"🟡低库存","🟢正常"))</f>
        <v/>
      </c>
      <c r="L262" s="4" t="inlineStr"/>
    </row>
    <row r="263" ht="17" customHeight="1">
      <c r="A263" s="8" t="n">
        <v>259</v>
      </c>
      <c r="B263" s="8" t="inlineStr">
        <is>
          <t>NTF0335B-S</t>
        </is>
      </c>
      <c r="C263" s="9" t="inlineStr">
        <is>
          <t>扭捏 印花刺绣白色蕾丝多层花边半身裙可拆卸背带裙夏季 原创设计</t>
        </is>
      </c>
      <c r="D263" s="9" t="inlineStr">
        <is>
          <t>多层花边半身裙</t>
        </is>
      </c>
      <c r="E263" s="8" t="inlineStr">
        <is>
          <t>S</t>
        </is>
      </c>
      <c r="F263" s="10" t="n">
        <v>398</v>
      </c>
      <c r="G263" s="58" t="n">
        <v>7</v>
      </c>
      <c r="H263" s="58" t="n">
        <v>0</v>
      </c>
      <c r="I263" s="58" t="n">
        <v>0</v>
      </c>
      <c r="J263" s="46">
        <f>G263+H263-I263</f>
        <v/>
      </c>
      <c r="K263" s="21">
        <f>IF(J263=0,"🔴缺货",IF(J263&lt;=2,"🟡低库存","🟢正常"))</f>
        <v/>
      </c>
      <c r="L263" s="8" t="inlineStr"/>
    </row>
    <row r="264" ht="17" customHeight="1">
      <c r="A264" s="4" t="n">
        <v>260</v>
      </c>
      <c r="B264" s="4" t="inlineStr">
        <is>
          <t>NTF0338B-G-M</t>
        </is>
      </c>
      <c r="C264" s="5" t="inlineStr">
        <is>
          <t>扭捏 绿色植物染艺术感提花褶皱吊带背心半身长裙套装女夏季</t>
        </is>
      </c>
      <c r="D264" s="5" t="inlineStr">
        <is>
          <t>植物染绿色系半身裙</t>
        </is>
      </c>
      <c r="E264" s="4" t="inlineStr">
        <is>
          <t>M</t>
        </is>
      </c>
      <c r="F264" s="6" t="n">
        <v>458</v>
      </c>
      <c r="G264" s="58" t="n">
        <v>5</v>
      </c>
      <c r="H264" s="58" t="n">
        <v>0</v>
      </c>
      <c r="I264" s="58" t="n">
        <v>0</v>
      </c>
      <c r="J264" s="46">
        <f>G264+H264-I264</f>
        <v/>
      </c>
      <c r="K264" s="21">
        <f>IF(J264=0,"🔴缺货",IF(J264&lt;=2,"🟡低库存","🟢正常"))</f>
        <v/>
      </c>
      <c r="L264" s="4" t="inlineStr"/>
    </row>
    <row r="265" ht="17" customHeight="1">
      <c r="A265" s="8" t="n">
        <v>261</v>
      </c>
      <c r="B265" s="8" t="inlineStr">
        <is>
          <t>NTF0338B-G-S</t>
        </is>
      </c>
      <c r="C265" s="9" t="inlineStr">
        <is>
          <t>扭捏 绿色植物染艺术感提花褶皱吊带背心半身长裙套装女夏季</t>
        </is>
      </c>
      <c r="D265" s="9" t="inlineStr">
        <is>
          <t>植物染绿色系半身裙</t>
        </is>
      </c>
      <c r="E265" s="8" t="inlineStr">
        <is>
          <t>S</t>
        </is>
      </c>
      <c r="F265" s="10" t="n">
        <v>458</v>
      </c>
      <c r="G265" s="58" t="n">
        <v>0</v>
      </c>
      <c r="H265" s="58" t="n">
        <v>0</v>
      </c>
      <c r="I265" s="58" t="n">
        <v>0</v>
      </c>
      <c r="J265" s="46">
        <f>G265+H265-I265</f>
        <v/>
      </c>
      <c r="K265" s="21">
        <f>IF(J265=0,"🔴缺货",IF(J265&lt;=2,"🟡低库存","🟢正常"))</f>
        <v/>
      </c>
      <c r="L265" s="8" t="inlineStr"/>
    </row>
    <row r="266" ht="17" customHeight="1">
      <c r="A266" s="4" t="n">
        <v>262</v>
      </c>
      <c r="B266" s="4" t="inlineStr">
        <is>
          <t>NTF0338A-G-M</t>
        </is>
      </c>
      <c r="C266" s="5" t="inlineStr">
        <is>
          <t>扭捏 绿色植物染艺术感提花褶皱吊带背心半身长裙套装女夏季</t>
        </is>
      </c>
      <c r="D266" s="5" t="inlineStr">
        <is>
          <t>植物染绿色系背心</t>
        </is>
      </c>
      <c r="E266" s="4" t="inlineStr">
        <is>
          <t>M</t>
        </is>
      </c>
      <c r="F266" s="6" t="n">
        <v>298</v>
      </c>
      <c r="G266" s="58" t="n">
        <v>7</v>
      </c>
      <c r="H266" s="58" t="n">
        <v>0</v>
      </c>
      <c r="I266" s="58" t="n">
        <v>0</v>
      </c>
      <c r="J266" s="46">
        <f>G266+H266-I266</f>
        <v/>
      </c>
      <c r="K266" s="21">
        <f>IF(J266=0,"🔴缺货",IF(J266&lt;=2,"🟡低库存","🟢正常"))</f>
        <v/>
      </c>
      <c r="L266" s="4" t="inlineStr"/>
    </row>
    <row r="267" ht="17" customHeight="1">
      <c r="A267" s="8" t="n">
        <v>263</v>
      </c>
      <c r="B267" s="8" t="inlineStr">
        <is>
          <t>NTF0338A-G-S</t>
        </is>
      </c>
      <c r="C267" s="9" t="inlineStr">
        <is>
          <t>扭捏 绿色植物染艺术感提花褶皱吊带背心半身长裙套装女夏季</t>
        </is>
      </c>
      <c r="D267" s="9" t="inlineStr">
        <is>
          <t>植物染绿色系背心</t>
        </is>
      </c>
      <c r="E267" s="8" t="inlineStr">
        <is>
          <t>S</t>
        </is>
      </c>
      <c r="F267" s="10" t="n">
        <v>298</v>
      </c>
      <c r="G267" s="58" t="n">
        <v>1</v>
      </c>
      <c r="H267" s="58" t="n">
        <v>0</v>
      </c>
      <c r="I267" s="58" t="n">
        <v>0</v>
      </c>
      <c r="J267" s="46">
        <f>G267+H267-I267</f>
        <v/>
      </c>
      <c r="K267" s="21">
        <f>IF(J267=0,"🔴缺货",IF(J267&lt;=2,"🟡低库存","🟢正常"))</f>
        <v/>
      </c>
      <c r="L267" s="8" t="inlineStr"/>
    </row>
    <row r="268" ht="17" customHeight="1">
      <c r="A268" s="4" t="n">
        <v>264</v>
      </c>
      <c r="B268" s="4" t="inlineStr">
        <is>
          <t>NTF0503L-M</t>
        </is>
      </c>
      <c r="C268" s="5" t="inlineStr">
        <is>
          <t>扭捏 慵懒度假风葡萄印花文艺复古宽松绿色拼接棉麻背带裙背心裙</t>
        </is>
      </c>
      <c r="D268" s="5" t="inlineStr">
        <is>
          <t>葡萄拼接背带裙</t>
        </is>
      </c>
      <c r="E268" s="4" t="inlineStr">
        <is>
          <t>M</t>
        </is>
      </c>
      <c r="F268" s="6" t="n">
        <v>398</v>
      </c>
      <c r="G268" s="58" t="n">
        <v>6</v>
      </c>
      <c r="H268" s="58" t="n">
        <v>0</v>
      </c>
      <c r="I268" s="58" t="n">
        <v>0</v>
      </c>
      <c r="J268" s="46">
        <f>G268+H268-I268</f>
        <v/>
      </c>
      <c r="K268" s="21">
        <f>IF(J268=0,"🔴缺货",IF(J268&lt;=2,"🟡低库存","🟢正常"))</f>
        <v/>
      </c>
      <c r="L268" s="4" t="inlineStr"/>
    </row>
    <row r="269" ht="17" customHeight="1">
      <c r="A269" s="8" t="n">
        <v>265</v>
      </c>
      <c r="B269" s="8" t="inlineStr">
        <is>
          <t>NTF0503L-S</t>
        </is>
      </c>
      <c r="C269" s="9" t="inlineStr">
        <is>
          <t>扭捏 慵懒度假风葡萄印花文艺复古宽松绿色拼接棉麻背带裙背心裙</t>
        </is>
      </c>
      <c r="D269" s="9" t="inlineStr">
        <is>
          <t>葡萄拼接背带裙</t>
        </is>
      </c>
      <c r="E269" s="8" t="inlineStr">
        <is>
          <t>S</t>
        </is>
      </c>
      <c r="F269" s="10" t="n">
        <v>398</v>
      </c>
      <c r="G269" s="58" t="n">
        <v>10</v>
      </c>
      <c r="H269" s="58" t="n">
        <v>0</v>
      </c>
      <c r="I269" s="58" t="n">
        <v>0</v>
      </c>
      <c r="J269" s="46">
        <f>G269+H269-I269</f>
        <v/>
      </c>
      <c r="K269" s="21">
        <f>IF(J269=0,"🔴缺货",IF(J269&lt;=2,"🟡低库存","🟢正常"))</f>
        <v/>
      </c>
      <c r="L269" s="8" t="inlineStr"/>
    </row>
    <row r="270" ht="17" customHeight="1">
      <c r="A270" s="4" t="n">
        <v>266</v>
      </c>
      <c r="B270" s="4" t="inlineStr">
        <is>
          <t>NTF0307B-L</t>
        </is>
      </c>
      <c r="C270" s="5" t="inlineStr">
        <is>
          <t>扭捏  原创设计蕾丝花边法式复古白色玫瑰印花圆领T恤短袖上衣夏</t>
        </is>
      </c>
      <c r="D270" s="5" t="inlineStr">
        <is>
          <t>白色玫瑰T恤</t>
        </is>
      </c>
      <c r="E270" s="4" t="inlineStr">
        <is>
          <t>L</t>
        </is>
      </c>
      <c r="F270" s="6" t="n">
        <v>198</v>
      </c>
      <c r="G270" s="58" t="n">
        <v>1</v>
      </c>
      <c r="H270" s="58" t="n">
        <v>0</v>
      </c>
      <c r="I270" s="58" t="n">
        <v>0</v>
      </c>
      <c r="J270" s="46">
        <f>G270+H270-I270</f>
        <v/>
      </c>
      <c r="K270" s="21">
        <f>IF(J270=0,"🔴缺货",IF(J270&lt;=2,"🟡低库存","🟢正常"))</f>
        <v/>
      </c>
      <c r="L270" s="4" t="inlineStr"/>
    </row>
    <row r="271" ht="17" customHeight="1">
      <c r="A271" s="8" t="n">
        <v>267</v>
      </c>
      <c r="B271" s="8" t="inlineStr">
        <is>
          <t>NTF0307B-M</t>
        </is>
      </c>
      <c r="C271" s="9" t="inlineStr">
        <is>
          <t>扭捏  原创设计蕾丝花边法式复古白色玫瑰印花圆领T恤短袖上衣夏</t>
        </is>
      </c>
      <c r="D271" s="9" t="inlineStr">
        <is>
          <t>白色玫瑰T恤</t>
        </is>
      </c>
      <c r="E271" s="8" t="inlineStr">
        <is>
          <t>M</t>
        </is>
      </c>
      <c r="F271" s="10" t="n">
        <v>198</v>
      </c>
      <c r="G271" s="58" t="n">
        <v>5</v>
      </c>
      <c r="H271" s="58" t="n">
        <v>0</v>
      </c>
      <c r="I271" s="58" t="n">
        <v>0</v>
      </c>
      <c r="J271" s="46">
        <f>G271+H271-I271</f>
        <v/>
      </c>
      <c r="K271" s="21">
        <f>IF(J271=0,"🔴缺货",IF(J271&lt;=2,"🟡低库存","🟢正常"))</f>
        <v/>
      </c>
      <c r="L271" s="8" t="inlineStr"/>
    </row>
    <row r="272" ht="17" customHeight="1">
      <c r="A272" s="4" t="n">
        <v>268</v>
      </c>
      <c r="B272" s="4" t="inlineStr">
        <is>
          <t>NTF0307B-S</t>
        </is>
      </c>
      <c r="C272" s="5" t="inlineStr">
        <is>
          <t>扭捏  原创设计蕾丝花边法式复古白色玫瑰印花圆领T恤短袖上衣夏</t>
        </is>
      </c>
      <c r="D272" s="5" t="inlineStr">
        <is>
          <t>白色玫瑰T恤</t>
        </is>
      </c>
      <c r="E272" s="4" t="inlineStr">
        <is>
          <t>S</t>
        </is>
      </c>
      <c r="F272" s="6" t="n">
        <v>198</v>
      </c>
      <c r="G272" s="58" t="n">
        <v>3</v>
      </c>
      <c r="H272" s="58" t="n">
        <v>0</v>
      </c>
      <c r="I272" s="58" t="n">
        <v>0</v>
      </c>
      <c r="J272" s="46">
        <f>G272+H272-I272</f>
        <v/>
      </c>
      <c r="K272" s="21">
        <f>IF(J272=0,"🔴缺货",IF(J272&lt;=2,"🟡低库存","🟢正常"))</f>
        <v/>
      </c>
      <c r="L272" s="4" t="inlineStr"/>
    </row>
    <row r="273" ht="17" customHeight="1">
      <c r="A273" s="8" t="n">
        <v>269</v>
      </c>
      <c r="B273" s="8" t="inlineStr">
        <is>
          <t>NTF0501B-L</t>
        </is>
      </c>
      <c r="C273" s="9" t="inlineStr">
        <is>
          <t>扭捏 仿醋酸蓝色一片式绑带蝴蝶结半身裙 拼接玫瑰蕾丝裙</t>
        </is>
      </c>
      <c r="D273" s="9" t="inlineStr">
        <is>
          <t>蓝色一片式半裙</t>
        </is>
      </c>
      <c r="E273" s="8" t="inlineStr">
        <is>
          <t>L</t>
        </is>
      </c>
      <c r="F273" s="10" t="n">
        <v>368</v>
      </c>
      <c r="G273" s="58" t="n">
        <v>7</v>
      </c>
      <c r="H273" s="58" t="n">
        <v>0</v>
      </c>
      <c r="I273" s="58" t="n">
        <v>0</v>
      </c>
      <c r="J273" s="46">
        <f>G273+H273-I273</f>
        <v/>
      </c>
      <c r="K273" s="21">
        <f>IF(J273=0,"🔴缺货",IF(J273&lt;=2,"🟡低库存","🟢正常"))</f>
        <v/>
      </c>
      <c r="L273" s="8" t="inlineStr"/>
    </row>
    <row r="274" ht="17" customHeight="1">
      <c r="A274" s="4" t="n">
        <v>270</v>
      </c>
      <c r="B274" s="4" t="inlineStr">
        <is>
          <t>NTF0501B-M</t>
        </is>
      </c>
      <c r="C274" s="5" t="inlineStr">
        <is>
          <t>扭捏 仿醋酸蓝色一片式绑带蝴蝶结半身裙 拼接玫瑰蕾丝裙</t>
        </is>
      </c>
      <c r="D274" s="5" t="inlineStr">
        <is>
          <t>蓝色一片式半裙</t>
        </is>
      </c>
      <c r="E274" s="4" t="inlineStr">
        <is>
          <t>M</t>
        </is>
      </c>
      <c r="F274" s="6" t="n">
        <v>368</v>
      </c>
      <c r="G274" s="58" t="n">
        <v>15</v>
      </c>
      <c r="H274" s="58" t="n">
        <v>0</v>
      </c>
      <c r="I274" s="58" t="n">
        <v>0</v>
      </c>
      <c r="J274" s="46">
        <f>G274+H274-I274</f>
        <v/>
      </c>
      <c r="K274" s="21">
        <f>IF(J274=0,"🔴缺货",IF(J274&lt;=2,"🟡低库存","🟢正常"))</f>
        <v/>
      </c>
      <c r="L274" s="4" t="inlineStr"/>
    </row>
    <row r="275" ht="17" customHeight="1">
      <c r="A275" s="8" t="n">
        <v>271</v>
      </c>
      <c r="B275" s="8" t="inlineStr">
        <is>
          <t>NTF0501B-S</t>
        </is>
      </c>
      <c r="C275" s="9" t="inlineStr">
        <is>
          <t>扭捏 仿醋酸蓝色一片式绑带蝴蝶结半身裙 拼接玫瑰蕾丝裙</t>
        </is>
      </c>
      <c r="D275" s="9" t="inlineStr">
        <is>
          <t>蓝色一片式半裙</t>
        </is>
      </c>
      <c r="E275" s="8" t="inlineStr">
        <is>
          <t>S</t>
        </is>
      </c>
      <c r="F275" s="10" t="n">
        <v>368</v>
      </c>
      <c r="G275" s="58" t="n">
        <v>11</v>
      </c>
      <c r="H275" s="58" t="n">
        <v>0</v>
      </c>
      <c r="I275" s="58" t="n">
        <v>0</v>
      </c>
      <c r="J275" s="46">
        <f>G275+H275-I275</f>
        <v/>
      </c>
      <c r="K275" s="21">
        <f>IF(J275=0,"🔴缺货",IF(J275&lt;=2,"🟡低库存","🟢正常"))</f>
        <v/>
      </c>
      <c r="L275" s="8" t="inlineStr"/>
    </row>
    <row r="276" ht="17" customHeight="1">
      <c r="A276" s="4" t="n">
        <v>272</v>
      </c>
      <c r="B276" s="4" t="inlineStr">
        <is>
          <t>NTF0509AG-L</t>
        </is>
      </c>
      <c r="C276" s="5" t="inlineStr">
        <is>
          <t>扭捏 绿色高密纸感棉 简约基础百搭白色拼接蕾丝背心吊带外穿上衣</t>
        </is>
      </c>
      <c r="D276" s="5" t="inlineStr">
        <is>
          <t>绿色纸感吊带【微弹】</t>
        </is>
      </c>
      <c r="E276" s="4" t="inlineStr">
        <is>
          <t>L</t>
        </is>
      </c>
      <c r="F276" s="6" t="n">
        <v>258</v>
      </c>
      <c r="G276" s="58" t="n">
        <v>4</v>
      </c>
      <c r="H276" s="58" t="n">
        <v>0</v>
      </c>
      <c r="I276" s="58" t="n">
        <v>0</v>
      </c>
      <c r="J276" s="46">
        <f>G276+H276-I276</f>
        <v/>
      </c>
      <c r="K276" s="21">
        <f>IF(J276=0,"🔴缺货",IF(J276&lt;=2,"🟡低库存","🟢正常"))</f>
        <v/>
      </c>
      <c r="L276" s="4" t="inlineStr"/>
    </row>
    <row r="277" ht="17" customHeight="1">
      <c r="A277" s="8" t="n">
        <v>273</v>
      </c>
      <c r="B277" s="8" t="inlineStr">
        <is>
          <t>NTF0509AG-M</t>
        </is>
      </c>
      <c r="C277" s="9" t="inlineStr">
        <is>
          <t>扭捏 绿色高密纸感棉 简约基础百搭白色拼接蕾丝背心吊带外穿上衣</t>
        </is>
      </c>
      <c r="D277" s="9" t="inlineStr">
        <is>
          <t>绿色纸感吊带【微弹】</t>
        </is>
      </c>
      <c r="E277" s="8" t="inlineStr">
        <is>
          <t>M</t>
        </is>
      </c>
      <c r="F277" s="10" t="n">
        <v>258</v>
      </c>
      <c r="G277" s="58" t="n">
        <v>0</v>
      </c>
      <c r="H277" s="58" t="n">
        <v>0</v>
      </c>
      <c r="I277" s="58" t="n">
        <v>0</v>
      </c>
      <c r="J277" s="46">
        <f>G277+H277-I277</f>
        <v/>
      </c>
      <c r="K277" s="21">
        <f>IF(J277=0,"🔴缺货",IF(J277&lt;=2,"🟡低库存","🟢正常"))</f>
        <v/>
      </c>
      <c r="L277" s="8" t="inlineStr"/>
    </row>
    <row r="278" ht="17" customHeight="1">
      <c r="A278" s="4" t="n">
        <v>274</v>
      </c>
      <c r="B278" s="4" t="inlineStr">
        <is>
          <t>NTF0509AG-S</t>
        </is>
      </c>
      <c r="C278" s="5" t="inlineStr">
        <is>
          <t>扭捏 绿色高密纸感棉 简约基础百搭白色拼接蕾丝背心吊带外穿上衣</t>
        </is>
      </c>
      <c r="D278" s="5" t="inlineStr">
        <is>
          <t>绿色纸感吊带【微弹】</t>
        </is>
      </c>
      <c r="E278" s="4" t="inlineStr">
        <is>
          <t>S</t>
        </is>
      </c>
      <c r="F278" s="6" t="n">
        <v>258</v>
      </c>
      <c r="G278" s="58" t="n">
        <v>2</v>
      </c>
      <c r="H278" s="58" t="n">
        <v>0</v>
      </c>
      <c r="I278" s="58" t="n">
        <v>0</v>
      </c>
      <c r="J278" s="46">
        <f>G278+H278-I278</f>
        <v/>
      </c>
      <c r="K278" s="21">
        <f>IF(J278=0,"🔴缺货",IF(J278&lt;=2,"🟡低库存","🟢正常"))</f>
        <v/>
      </c>
      <c r="L278" s="4" t="inlineStr"/>
    </row>
    <row r="279" ht="17" customHeight="1">
      <c r="A279" s="8" t="n">
        <v>275</v>
      </c>
      <c r="B279" s="8" t="inlineStr">
        <is>
          <t>NTF0509BW-L</t>
        </is>
      </c>
      <c r="C279" s="9" t="inlineStr">
        <is>
          <t>扭捏 绿色高密纸感棉 简约基础百搭白色拼接蕾丝背心吊带外穿上衣</t>
        </is>
      </c>
      <c r="D279" s="9" t="inlineStr">
        <is>
          <t>白色拼接蕾丝吊带【无弹】</t>
        </is>
      </c>
      <c r="E279" s="8" t="inlineStr">
        <is>
          <t>L</t>
        </is>
      </c>
      <c r="F279" s="10" t="n">
        <v>258</v>
      </c>
      <c r="G279" s="58" t="n">
        <v>4</v>
      </c>
      <c r="H279" s="58" t="n">
        <v>0</v>
      </c>
      <c r="I279" s="58" t="n">
        <v>0</v>
      </c>
      <c r="J279" s="46">
        <f>G279+H279-I279</f>
        <v/>
      </c>
      <c r="K279" s="21">
        <f>IF(J279=0,"🔴缺货",IF(J279&lt;=2,"🟡低库存","🟢正常"))</f>
        <v/>
      </c>
      <c r="L279" s="8" t="inlineStr"/>
    </row>
    <row r="280" ht="17" customHeight="1">
      <c r="A280" s="4" t="n">
        <v>276</v>
      </c>
      <c r="B280" s="4" t="inlineStr">
        <is>
          <t>NTF0509BW-M</t>
        </is>
      </c>
      <c r="C280" s="5" t="inlineStr">
        <is>
          <t>扭捏 绿色高密纸感棉 简约基础百搭白色拼接蕾丝背心吊带外穿上衣</t>
        </is>
      </c>
      <c r="D280" s="5" t="inlineStr">
        <is>
          <t>白色拼接蕾丝吊带【无弹】</t>
        </is>
      </c>
      <c r="E280" s="4" t="inlineStr">
        <is>
          <t>M</t>
        </is>
      </c>
      <c r="F280" s="6" t="n">
        <v>258</v>
      </c>
      <c r="G280" s="58" t="n">
        <v>0</v>
      </c>
      <c r="H280" s="58" t="n">
        <v>0</v>
      </c>
      <c r="I280" s="58" t="n">
        <v>0</v>
      </c>
      <c r="J280" s="46">
        <f>G280+H280-I280</f>
        <v/>
      </c>
      <c r="K280" s="21">
        <f>IF(J280=0,"🔴缺货",IF(J280&lt;=2,"🟡低库存","🟢正常"))</f>
        <v/>
      </c>
      <c r="L280" s="4" t="inlineStr"/>
    </row>
    <row r="281" ht="17" customHeight="1">
      <c r="A281" s="8" t="n">
        <v>277</v>
      </c>
      <c r="B281" s="8" t="inlineStr">
        <is>
          <t>NTF0509BW-S</t>
        </is>
      </c>
      <c r="C281" s="9" t="inlineStr">
        <is>
          <t>扭捏 绿色高密纸感棉 简约基础百搭白色拼接蕾丝背心吊带外穿上衣</t>
        </is>
      </c>
      <c r="D281" s="9" t="inlineStr">
        <is>
          <t>白色拼接蕾丝吊带【无弹】</t>
        </is>
      </c>
      <c r="E281" s="8" t="inlineStr">
        <is>
          <t>S</t>
        </is>
      </c>
      <c r="F281" s="10" t="n">
        <v>258</v>
      </c>
      <c r="G281" s="58" t="n">
        <v>0</v>
      </c>
      <c r="H281" s="58" t="n">
        <v>0</v>
      </c>
      <c r="I281" s="58" t="n">
        <v>0</v>
      </c>
      <c r="J281" s="46">
        <f>G281+H281-I281</f>
        <v/>
      </c>
      <c r="K281" s="21">
        <f>IF(J281=0,"🔴缺货",IF(J281&lt;=2,"🟡低库存","🟢正常"))</f>
        <v/>
      </c>
      <c r="L281" s="8" t="inlineStr"/>
    </row>
  </sheetData>
  <autoFilter ref="A4:L281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6" customWidth="1" min="4" max="4"/>
    <col width="22" customWidth="1" min="5" max="5"/>
    <col width="12" customWidth="1" min="6" max="6"/>
    <col width="22" customWidth="1" min="7" max="7"/>
    <col width="12" customWidth="1" min="8" max="8"/>
  </cols>
  <sheetData>
    <row r="1" ht="28" customHeight="1">
      <c r="A1" s="1" t="inlineStr">
        <is>
          <t>📥 入库记录  |  每次到货登记</t>
        </is>
      </c>
    </row>
    <row r="2" ht="18" customHeight="1">
      <c r="A2" s="2" t="inlineStr">
        <is>
          <t>💡 每次到货后在此记录 | 填完后手动更新【库存管理】的本月入库列</t>
        </is>
      </c>
    </row>
    <row r="3" ht="30" customHeight="1">
      <c r="A3" s="3" t="inlineStr">
        <is>
          <t>序号</t>
        </is>
      </c>
      <c r="B3" s="3" t="inlineStr">
        <is>
          <t>入库日期</t>
        </is>
      </c>
      <c r="C3" s="3" t="inlineStr">
        <is>
          <t>货号(SKU)</t>
        </is>
      </c>
      <c r="D3" s="3" t="inlineStr">
        <is>
          <t>商品名称</t>
        </is>
      </c>
      <c r="E3" s="3" t="inlineStr">
        <is>
          <t>颜色规格</t>
        </is>
      </c>
      <c r="F3" s="3" t="inlineStr">
        <is>
          <t>入库数量</t>
        </is>
      </c>
      <c r="G3" s="3" t="inlineStr">
        <is>
          <t>供应商/备注</t>
        </is>
      </c>
      <c r="H3" s="3" t="inlineStr">
        <is>
          <t>经手人</t>
        </is>
      </c>
    </row>
    <row r="4" ht="18" customHeight="1">
      <c r="A4" s="26">
        <f>IF(B4="","",ROW()-3)</f>
        <v/>
      </c>
      <c r="B4" s="59" t="n"/>
      <c r="C4" s="58" t="n"/>
      <c r="D4" s="60" t="n"/>
      <c r="E4" s="58" t="n"/>
      <c r="F4" s="58" t="n"/>
      <c r="G4" s="58" t="n"/>
      <c r="H4" s="58" t="n"/>
    </row>
    <row r="5" ht="18" customHeight="1">
      <c r="A5" s="19">
        <f>IF(B5="","",ROW()-3)</f>
        <v/>
      </c>
      <c r="B5" s="59" t="n"/>
      <c r="C5" s="58" t="n"/>
      <c r="D5" s="60" t="n"/>
      <c r="E5" s="58" t="n"/>
      <c r="F5" s="58" t="n"/>
      <c r="G5" s="58" t="n"/>
      <c r="H5" s="58" t="n"/>
    </row>
    <row r="6" ht="18" customHeight="1">
      <c r="A6" s="26">
        <f>IF(B6="","",ROW()-3)</f>
        <v/>
      </c>
      <c r="B6" s="59" t="n"/>
      <c r="C6" s="58" t="n"/>
      <c r="D6" s="60" t="n"/>
      <c r="E6" s="58" t="n"/>
      <c r="F6" s="58" t="n"/>
      <c r="G6" s="58" t="n"/>
      <c r="H6" s="58" t="n"/>
    </row>
    <row r="7" ht="18" customHeight="1">
      <c r="A7" s="19">
        <f>IF(B7="","",ROW()-3)</f>
        <v/>
      </c>
      <c r="B7" s="59" t="n"/>
      <c r="C7" s="58" t="n"/>
      <c r="D7" s="60" t="n"/>
      <c r="E7" s="58" t="n"/>
      <c r="F7" s="58" t="n"/>
      <c r="G7" s="58" t="n"/>
      <c r="H7" s="58" t="n"/>
    </row>
    <row r="8" ht="18" customHeight="1">
      <c r="A8" s="26">
        <f>IF(B8="","",ROW()-3)</f>
        <v/>
      </c>
      <c r="B8" s="59" t="n"/>
      <c r="C8" s="58" t="n"/>
      <c r="D8" s="60" t="n"/>
      <c r="E8" s="58" t="n"/>
      <c r="F8" s="58" t="n"/>
      <c r="G8" s="58" t="n"/>
      <c r="H8" s="58" t="n"/>
    </row>
    <row r="9" ht="18" customHeight="1">
      <c r="A9" s="19">
        <f>IF(B9="","",ROW()-3)</f>
        <v/>
      </c>
      <c r="B9" s="59" t="n"/>
      <c r="C9" s="58" t="n"/>
      <c r="D9" s="60" t="n"/>
      <c r="E9" s="58" t="n"/>
      <c r="F9" s="58" t="n"/>
      <c r="G9" s="58" t="n"/>
      <c r="H9" s="58" t="n"/>
    </row>
    <row r="10" ht="18" customHeight="1">
      <c r="A10" s="26">
        <f>IF(B10="","",ROW()-3)</f>
        <v/>
      </c>
      <c r="B10" s="59" t="n"/>
      <c r="C10" s="58" t="n"/>
      <c r="D10" s="60" t="n"/>
      <c r="E10" s="58" t="n"/>
      <c r="F10" s="58" t="n"/>
      <c r="G10" s="58" t="n"/>
      <c r="H10" s="58" t="n"/>
    </row>
    <row r="11" ht="18" customHeight="1">
      <c r="A11" s="19">
        <f>IF(B11="","",ROW()-3)</f>
        <v/>
      </c>
      <c r="B11" s="59" t="n"/>
      <c r="C11" s="58" t="n"/>
      <c r="D11" s="60" t="n"/>
      <c r="E11" s="58" t="n"/>
      <c r="F11" s="58" t="n"/>
      <c r="G11" s="58" t="n"/>
      <c r="H11" s="58" t="n"/>
    </row>
    <row r="12" ht="18" customHeight="1">
      <c r="A12" s="26">
        <f>IF(B12="","",ROW()-3)</f>
        <v/>
      </c>
      <c r="B12" s="59" t="n"/>
      <c r="C12" s="58" t="n"/>
      <c r="D12" s="60" t="n"/>
      <c r="E12" s="58" t="n"/>
      <c r="F12" s="58" t="n"/>
      <c r="G12" s="58" t="n"/>
      <c r="H12" s="58" t="n"/>
    </row>
    <row r="13" ht="18" customHeight="1">
      <c r="A13" s="19">
        <f>IF(B13="","",ROW()-3)</f>
        <v/>
      </c>
      <c r="B13" s="59" t="n"/>
      <c r="C13" s="58" t="n"/>
      <c r="D13" s="60" t="n"/>
      <c r="E13" s="58" t="n"/>
      <c r="F13" s="58" t="n"/>
      <c r="G13" s="58" t="n"/>
      <c r="H13" s="58" t="n"/>
    </row>
    <row r="14" ht="18" customHeight="1">
      <c r="A14" s="26">
        <f>IF(B14="","",ROW()-3)</f>
        <v/>
      </c>
      <c r="B14" s="59" t="n"/>
      <c r="C14" s="58" t="n"/>
      <c r="D14" s="60" t="n"/>
      <c r="E14" s="58" t="n"/>
      <c r="F14" s="58" t="n"/>
      <c r="G14" s="58" t="n"/>
      <c r="H14" s="58" t="n"/>
    </row>
    <row r="15" ht="18" customHeight="1">
      <c r="A15" s="19">
        <f>IF(B15="","",ROW()-3)</f>
        <v/>
      </c>
      <c r="B15" s="59" t="n"/>
      <c r="C15" s="58" t="n"/>
      <c r="D15" s="60" t="n"/>
      <c r="E15" s="58" t="n"/>
      <c r="F15" s="58" t="n"/>
      <c r="G15" s="58" t="n"/>
      <c r="H15" s="58" t="n"/>
    </row>
    <row r="16" ht="18" customHeight="1">
      <c r="A16" s="26">
        <f>IF(B16="","",ROW()-3)</f>
        <v/>
      </c>
      <c r="B16" s="59" t="n"/>
      <c r="C16" s="58" t="n"/>
      <c r="D16" s="60" t="n"/>
      <c r="E16" s="58" t="n"/>
      <c r="F16" s="58" t="n"/>
      <c r="G16" s="58" t="n"/>
      <c r="H16" s="58" t="n"/>
    </row>
    <row r="17" ht="18" customHeight="1">
      <c r="A17" s="19">
        <f>IF(B17="","",ROW()-3)</f>
        <v/>
      </c>
      <c r="B17" s="59" t="n"/>
      <c r="C17" s="58" t="n"/>
      <c r="D17" s="60" t="n"/>
      <c r="E17" s="58" t="n"/>
      <c r="F17" s="58" t="n"/>
      <c r="G17" s="58" t="n"/>
      <c r="H17" s="58" t="n"/>
    </row>
    <row r="18" ht="18" customHeight="1">
      <c r="A18" s="26">
        <f>IF(B18="","",ROW()-3)</f>
        <v/>
      </c>
      <c r="B18" s="59" t="n"/>
      <c r="C18" s="58" t="n"/>
      <c r="D18" s="60" t="n"/>
      <c r="E18" s="58" t="n"/>
      <c r="F18" s="58" t="n"/>
      <c r="G18" s="58" t="n"/>
      <c r="H18" s="58" t="n"/>
    </row>
    <row r="19" ht="18" customHeight="1">
      <c r="A19" s="19">
        <f>IF(B19="","",ROW()-3)</f>
        <v/>
      </c>
      <c r="B19" s="59" t="n"/>
      <c r="C19" s="58" t="n"/>
      <c r="D19" s="60" t="n"/>
      <c r="E19" s="58" t="n"/>
      <c r="F19" s="58" t="n"/>
      <c r="G19" s="58" t="n"/>
      <c r="H19" s="58" t="n"/>
    </row>
    <row r="20" ht="18" customHeight="1">
      <c r="A20" s="26">
        <f>IF(B20="","",ROW()-3)</f>
        <v/>
      </c>
      <c r="B20" s="59" t="n"/>
      <c r="C20" s="58" t="n"/>
      <c r="D20" s="60" t="n"/>
      <c r="E20" s="58" t="n"/>
      <c r="F20" s="58" t="n"/>
      <c r="G20" s="58" t="n"/>
      <c r="H20" s="58" t="n"/>
    </row>
    <row r="21" ht="18" customHeight="1">
      <c r="A21" s="19">
        <f>IF(B21="","",ROW()-3)</f>
        <v/>
      </c>
      <c r="B21" s="59" t="n"/>
      <c r="C21" s="58" t="n"/>
      <c r="D21" s="60" t="n"/>
      <c r="E21" s="58" t="n"/>
      <c r="F21" s="58" t="n"/>
      <c r="G21" s="58" t="n"/>
      <c r="H21" s="58" t="n"/>
    </row>
    <row r="22" ht="18" customHeight="1">
      <c r="A22" s="26">
        <f>IF(B22="","",ROW()-3)</f>
        <v/>
      </c>
      <c r="B22" s="59" t="n"/>
      <c r="C22" s="58" t="n"/>
      <c r="D22" s="60" t="n"/>
      <c r="E22" s="58" t="n"/>
      <c r="F22" s="58" t="n"/>
      <c r="G22" s="58" t="n"/>
      <c r="H22" s="58" t="n"/>
    </row>
    <row r="23" ht="18" customHeight="1">
      <c r="A23" s="19">
        <f>IF(B23="","",ROW()-3)</f>
        <v/>
      </c>
      <c r="B23" s="59" t="n"/>
      <c r="C23" s="58" t="n"/>
      <c r="D23" s="60" t="n"/>
      <c r="E23" s="58" t="n"/>
      <c r="F23" s="58" t="n"/>
      <c r="G23" s="58" t="n"/>
      <c r="H23" s="58" t="n"/>
    </row>
    <row r="24" ht="18" customHeight="1">
      <c r="A24" s="26">
        <f>IF(B24="","",ROW()-3)</f>
        <v/>
      </c>
      <c r="B24" s="59" t="n"/>
      <c r="C24" s="58" t="n"/>
      <c r="D24" s="60" t="n"/>
      <c r="E24" s="58" t="n"/>
      <c r="F24" s="58" t="n"/>
      <c r="G24" s="58" t="n"/>
      <c r="H24" s="58" t="n"/>
    </row>
    <row r="25" ht="18" customHeight="1">
      <c r="A25" s="19">
        <f>IF(B25="","",ROW()-3)</f>
        <v/>
      </c>
      <c r="B25" s="59" t="n"/>
      <c r="C25" s="58" t="n"/>
      <c r="D25" s="60" t="n"/>
      <c r="E25" s="58" t="n"/>
      <c r="F25" s="58" t="n"/>
      <c r="G25" s="58" t="n"/>
      <c r="H25" s="58" t="n"/>
    </row>
    <row r="26" ht="18" customHeight="1">
      <c r="A26" s="26">
        <f>IF(B26="","",ROW()-3)</f>
        <v/>
      </c>
      <c r="B26" s="59" t="n"/>
      <c r="C26" s="58" t="n"/>
      <c r="D26" s="60" t="n"/>
      <c r="E26" s="58" t="n"/>
      <c r="F26" s="58" t="n"/>
      <c r="G26" s="58" t="n"/>
      <c r="H26" s="58" t="n"/>
    </row>
    <row r="27" ht="18" customHeight="1">
      <c r="A27" s="19">
        <f>IF(B27="","",ROW()-3)</f>
        <v/>
      </c>
      <c r="B27" s="59" t="n"/>
      <c r="C27" s="58" t="n"/>
      <c r="D27" s="60" t="n"/>
      <c r="E27" s="58" t="n"/>
      <c r="F27" s="58" t="n"/>
      <c r="G27" s="58" t="n"/>
      <c r="H27" s="58" t="n"/>
    </row>
    <row r="28" ht="18" customHeight="1">
      <c r="A28" s="26">
        <f>IF(B28="","",ROW()-3)</f>
        <v/>
      </c>
      <c r="B28" s="59" t="n"/>
      <c r="C28" s="58" t="n"/>
      <c r="D28" s="60" t="n"/>
      <c r="E28" s="58" t="n"/>
      <c r="F28" s="58" t="n"/>
      <c r="G28" s="58" t="n"/>
      <c r="H28" s="58" t="n"/>
    </row>
    <row r="29" ht="18" customHeight="1">
      <c r="A29" s="19">
        <f>IF(B29="","",ROW()-3)</f>
        <v/>
      </c>
      <c r="B29" s="59" t="n"/>
      <c r="C29" s="58" t="n"/>
      <c r="D29" s="60" t="n"/>
      <c r="E29" s="58" t="n"/>
      <c r="F29" s="58" t="n"/>
      <c r="G29" s="58" t="n"/>
      <c r="H29" s="58" t="n"/>
    </row>
    <row r="30" ht="18" customHeight="1">
      <c r="A30" s="26">
        <f>IF(B30="","",ROW()-3)</f>
        <v/>
      </c>
      <c r="B30" s="59" t="n"/>
      <c r="C30" s="58" t="n"/>
      <c r="D30" s="60" t="n"/>
      <c r="E30" s="58" t="n"/>
      <c r="F30" s="58" t="n"/>
      <c r="G30" s="58" t="n"/>
      <c r="H30" s="58" t="n"/>
    </row>
    <row r="31" ht="18" customHeight="1">
      <c r="A31" s="19">
        <f>IF(B31="","",ROW()-3)</f>
        <v/>
      </c>
      <c r="B31" s="59" t="n"/>
      <c r="C31" s="58" t="n"/>
      <c r="D31" s="60" t="n"/>
      <c r="E31" s="58" t="n"/>
      <c r="F31" s="58" t="n"/>
      <c r="G31" s="58" t="n"/>
      <c r="H31" s="58" t="n"/>
    </row>
    <row r="32" ht="18" customHeight="1">
      <c r="A32" s="26">
        <f>IF(B32="","",ROW()-3)</f>
        <v/>
      </c>
      <c r="B32" s="59" t="n"/>
      <c r="C32" s="58" t="n"/>
      <c r="D32" s="60" t="n"/>
      <c r="E32" s="58" t="n"/>
      <c r="F32" s="58" t="n"/>
      <c r="G32" s="58" t="n"/>
      <c r="H32" s="58" t="n"/>
    </row>
    <row r="33" ht="18" customHeight="1">
      <c r="A33" s="19">
        <f>IF(B33="","",ROW()-3)</f>
        <v/>
      </c>
      <c r="B33" s="59" t="n"/>
      <c r="C33" s="58" t="n"/>
      <c r="D33" s="60" t="n"/>
      <c r="E33" s="58" t="n"/>
      <c r="F33" s="58" t="n"/>
      <c r="G33" s="58" t="n"/>
      <c r="H33" s="58" t="n"/>
    </row>
    <row r="34" ht="18" customHeight="1">
      <c r="A34" s="26">
        <f>IF(B34="","",ROW()-3)</f>
        <v/>
      </c>
      <c r="B34" s="59" t="n"/>
      <c r="C34" s="58" t="n"/>
      <c r="D34" s="60" t="n"/>
      <c r="E34" s="58" t="n"/>
      <c r="F34" s="58" t="n"/>
      <c r="G34" s="58" t="n"/>
      <c r="H34" s="58" t="n"/>
    </row>
    <row r="35" ht="18" customHeight="1">
      <c r="A35" s="19">
        <f>IF(B35="","",ROW()-3)</f>
        <v/>
      </c>
      <c r="B35" s="59" t="n"/>
      <c r="C35" s="58" t="n"/>
      <c r="D35" s="60" t="n"/>
      <c r="E35" s="58" t="n"/>
      <c r="F35" s="58" t="n"/>
      <c r="G35" s="58" t="n"/>
      <c r="H35" s="58" t="n"/>
    </row>
    <row r="36" ht="18" customHeight="1">
      <c r="A36" s="26">
        <f>IF(B36="","",ROW()-3)</f>
        <v/>
      </c>
      <c r="B36" s="59" t="n"/>
      <c r="C36" s="58" t="n"/>
      <c r="D36" s="60" t="n"/>
      <c r="E36" s="58" t="n"/>
      <c r="F36" s="58" t="n"/>
      <c r="G36" s="58" t="n"/>
      <c r="H36" s="58" t="n"/>
    </row>
    <row r="37" ht="18" customHeight="1">
      <c r="A37" s="19">
        <f>IF(B37="","",ROW()-3)</f>
        <v/>
      </c>
      <c r="B37" s="59" t="n"/>
      <c r="C37" s="58" t="n"/>
      <c r="D37" s="60" t="n"/>
      <c r="E37" s="58" t="n"/>
      <c r="F37" s="58" t="n"/>
      <c r="G37" s="58" t="n"/>
      <c r="H37" s="58" t="n"/>
    </row>
    <row r="38" ht="18" customHeight="1">
      <c r="A38" s="26">
        <f>IF(B38="","",ROW()-3)</f>
        <v/>
      </c>
      <c r="B38" s="59" t="n"/>
      <c r="C38" s="58" t="n"/>
      <c r="D38" s="60" t="n"/>
      <c r="E38" s="58" t="n"/>
      <c r="F38" s="58" t="n"/>
      <c r="G38" s="58" t="n"/>
      <c r="H38" s="58" t="n"/>
    </row>
    <row r="39" ht="18" customHeight="1">
      <c r="A39" s="19">
        <f>IF(B39="","",ROW()-3)</f>
        <v/>
      </c>
      <c r="B39" s="59" t="n"/>
      <c r="C39" s="58" t="n"/>
      <c r="D39" s="60" t="n"/>
      <c r="E39" s="58" t="n"/>
      <c r="F39" s="58" t="n"/>
      <c r="G39" s="58" t="n"/>
      <c r="H39" s="58" t="n"/>
    </row>
    <row r="40" ht="18" customHeight="1">
      <c r="A40" s="26">
        <f>IF(B40="","",ROW()-3)</f>
        <v/>
      </c>
      <c r="B40" s="59" t="n"/>
      <c r="C40" s="58" t="n"/>
      <c r="D40" s="60" t="n"/>
      <c r="E40" s="58" t="n"/>
      <c r="F40" s="58" t="n"/>
      <c r="G40" s="58" t="n"/>
      <c r="H40" s="58" t="n"/>
    </row>
    <row r="41" ht="18" customHeight="1">
      <c r="A41" s="19">
        <f>IF(B41="","",ROW()-3)</f>
        <v/>
      </c>
      <c r="B41" s="59" t="n"/>
      <c r="C41" s="58" t="n"/>
      <c r="D41" s="60" t="n"/>
      <c r="E41" s="58" t="n"/>
      <c r="F41" s="58" t="n"/>
      <c r="G41" s="58" t="n"/>
      <c r="H41" s="58" t="n"/>
    </row>
    <row r="42" ht="18" customHeight="1">
      <c r="A42" s="26">
        <f>IF(B42="","",ROW()-3)</f>
        <v/>
      </c>
      <c r="B42" s="59" t="n"/>
      <c r="C42" s="58" t="n"/>
      <c r="D42" s="60" t="n"/>
      <c r="E42" s="58" t="n"/>
      <c r="F42" s="58" t="n"/>
      <c r="G42" s="58" t="n"/>
      <c r="H42" s="58" t="n"/>
    </row>
    <row r="43" ht="18" customHeight="1">
      <c r="A43" s="19">
        <f>IF(B43="","",ROW()-3)</f>
        <v/>
      </c>
      <c r="B43" s="59" t="n"/>
      <c r="C43" s="58" t="n"/>
      <c r="D43" s="60" t="n"/>
      <c r="E43" s="58" t="n"/>
      <c r="F43" s="58" t="n"/>
      <c r="G43" s="58" t="n"/>
      <c r="H43" s="58" t="n"/>
    </row>
    <row r="44" ht="18" customHeight="1">
      <c r="A44" s="26">
        <f>IF(B44="","",ROW()-3)</f>
        <v/>
      </c>
      <c r="B44" s="59" t="n"/>
      <c r="C44" s="58" t="n"/>
      <c r="D44" s="60" t="n"/>
      <c r="E44" s="58" t="n"/>
      <c r="F44" s="58" t="n"/>
      <c r="G44" s="58" t="n"/>
      <c r="H44" s="58" t="n"/>
    </row>
    <row r="45" ht="18" customHeight="1">
      <c r="A45" s="19">
        <f>IF(B45="","",ROW()-3)</f>
        <v/>
      </c>
      <c r="B45" s="59" t="n"/>
      <c r="C45" s="58" t="n"/>
      <c r="D45" s="60" t="n"/>
      <c r="E45" s="58" t="n"/>
      <c r="F45" s="58" t="n"/>
      <c r="G45" s="58" t="n"/>
      <c r="H45" s="58" t="n"/>
    </row>
    <row r="46" ht="18" customHeight="1">
      <c r="A46" s="26">
        <f>IF(B46="","",ROW()-3)</f>
        <v/>
      </c>
      <c r="B46" s="59" t="n"/>
      <c r="C46" s="58" t="n"/>
      <c r="D46" s="60" t="n"/>
      <c r="E46" s="58" t="n"/>
      <c r="F46" s="58" t="n"/>
      <c r="G46" s="58" t="n"/>
      <c r="H46" s="58" t="n"/>
    </row>
    <row r="47" ht="18" customHeight="1">
      <c r="A47" s="19">
        <f>IF(B47="","",ROW()-3)</f>
        <v/>
      </c>
      <c r="B47" s="59" t="n"/>
      <c r="C47" s="58" t="n"/>
      <c r="D47" s="60" t="n"/>
      <c r="E47" s="58" t="n"/>
      <c r="F47" s="58" t="n"/>
      <c r="G47" s="58" t="n"/>
      <c r="H47" s="58" t="n"/>
    </row>
    <row r="48" ht="18" customHeight="1">
      <c r="A48" s="26">
        <f>IF(B48="","",ROW()-3)</f>
        <v/>
      </c>
      <c r="B48" s="59" t="n"/>
      <c r="C48" s="58" t="n"/>
      <c r="D48" s="60" t="n"/>
      <c r="E48" s="58" t="n"/>
      <c r="F48" s="58" t="n"/>
      <c r="G48" s="58" t="n"/>
      <c r="H48" s="58" t="n"/>
    </row>
    <row r="49" ht="18" customHeight="1">
      <c r="A49" s="19">
        <f>IF(B49="","",ROW()-3)</f>
        <v/>
      </c>
      <c r="B49" s="59" t="n"/>
      <c r="C49" s="58" t="n"/>
      <c r="D49" s="60" t="n"/>
      <c r="E49" s="58" t="n"/>
      <c r="F49" s="58" t="n"/>
      <c r="G49" s="58" t="n"/>
      <c r="H49" s="58" t="n"/>
    </row>
    <row r="50" ht="18" customHeight="1">
      <c r="A50" s="26">
        <f>IF(B50="","",ROW()-3)</f>
        <v/>
      </c>
      <c r="B50" s="59" t="n"/>
      <c r="C50" s="58" t="n"/>
      <c r="D50" s="60" t="n"/>
      <c r="E50" s="58" t="n"/>
      <c r="F50" s="58" t="n"/>
      <c r="G50" s="58" t="n"/>
      <c r="H50" s="58" t="n"/>
    </row>
    <row r="51" ht="18" customHeight="1">
      <c r="A51" s="19">
        <f>IF(B51="","",ROW()-3)</f>
        <v/>
      </c>
      <c r="B51" s="59" t="n"/>
      <c r="C51" s="58" t="n"/>
      <c r="D51" s="60" t="n"/>
      <c r="E51" s="58" t="n"/>
      <c r="F51" s="58" t="n"/>
      <c r="G51" s="58" t="n"/>
      <c r="H51" s="58" t="n"/>
    </row>
    <row r="52" ht="18" customHeight="1">
      <c r="A52" s="26">
        <f>IF(B52="","",ROW()-3)</f>
        <v/>
      </c>
      <c r="B52" s="59" t="n"/>
      <c r="C52" s="58" t="n"/>
      <c r="D52" s="60" t="n"/>
      <c r="E52" s="58" t="n"/>
      <c r="F52" s="58" t="n"/>
      <c r="G52" s="58" t="n"/>
      <c r="H52" s="58" t="n"/>
    </row>
    <row r="53" ht="18" customHeight="1">
      <c r="A53" s="19">
        <f>IF(B53="","",ROW()-3)</f>
        <v/>
      </c>
      <c r="B53" s="59" t="n"/>
      <c r="C53" s="58" t="n"/>
      <c r="D53" s="60" t="n"/>
      <c r="E53" s="58" t="n"/>
      <c r="F53" s="58" t="n"/>
      <c r="G53" s="58" t="n"/>
      <c r="H53" s="58" t="n"/>
    </row>
    <row r="54" ht="18" customHeight="1">
      <c r="A54" s="26">
        <f>IF(B54="","",ROW()-3)</f>
        <v/>
      </c>
      <c r="B54" s="59" t="n"/>
      <c r="C54" s="58" t="n"/>
      <c r="D54" s="60" t="n"/>
      <c r="E54" s="58" t="n"/>
      <c r="F54" s="58" t="n"/>
      <c r="G54" s="58" t="n"/>
      <c r="H54" s="58" t="n"/>
    </row>
    <row r="55" ht="18" customHeight="1">
      <c r="A55" s="19">
        <f>IF(B55="","",ROW()-3)</f>
        <v/>
      </c>
      <c r="B55" s="59" t="n"/>
      <c r="C55" s="58" t="n"/>
      <c r="D55" s="60" t="n"/>
      <c r="E55" s="58" t="n"/>
      <c r="F55" s="58" t="n"/>
      <c r="G55" s="58" t="n"/>
      <c r="H55" s="58" t="n"/>
    </row>
    <row r="56" ht="18" customHeight="1">
      <c r="A56" s="26">
        <f>IF(B56="","",ROW()-3)</f>
        <v/>
      </c>
      <c r="B56" s="59" t="n"/>
      <c r="C56" s="58" t="n"/>
      <c r="D56" s="60" t="n"/>
      <c r="E56" s="58" t="n"/>
      <c r="F56" s="58" t="n"/>
      <c r="G56" s="58" t="n"/>
      <c r="H56" s="58" t="n"/>
    </row>
    <row r="57" ht="18" customHeight="1">
      <c r="A57" s="19">
        <f>IF(B57="","",ROW()-3)</f>
        <v/>
      </c>
      <c r="B57" s="59" t="n"/>
      <c r="C57" s="58" t="n"/>
      <c r="D57" s="60" t="n"/>
      <c r="E57" s="58" t="n"/>
      <c r="F57" s="58" t="n"/>
      <c r="G57" s="58" t="n"/>
      <c r="H57" s="58" t="n"/>
    </row>
    <row r="58" ht="18" customHeight="1">
      <c r="A58" s="26">
        <f>IF(B58="","",ROW()-3)</f>
        <v/>
      </c>
      <c r="B58" s="59" t="n"/>
      <c r="C58" s="58" t="n"/>
      <c r="D58" s="60" t="n"/>
      <c r="E58" s="58" t="n"/>
      <c r="F58" s="58" t="n"/>
      <c r="G58" s="58" t="n"/>
      <c r="H58" s="58" t="n"/>
    </row>
    <row r="59" ht="18" customHeight="1">
      <c r="A59" s="19">
        <f>IF(B59="","",ROW()-3)</f>
        <v/>
      </c>
      <c r="B59" s="59" t="n"/>
      <c r="C59" s="58" t="n"/>
      <c r="D59" s="60" t="n"/>
      <c r="E59" s="58" t="n"/>
      <c r="F59" s="58" t="n"/>
      <c r="G59" s="58" t="n"/>
      <c r="H59" s="58" t="n"/>
    </row>
    <row r="60" ht="18" customHeight="1">
      <c r="A60" s="26">
        <f>IF(B60="","",ROW()-3)</f>
        <v/>
      </c>
      <c r="B60" s="59" t="n"/>
      <c r="C60" s="58" t="n"/>
      <c r="D60" s="60" t="n"/>
      <c r="E60" s="58" t="n"/>
      <c r="F60" s="58" t="n"/>
      <c r="G60" s="58" t="n"/>
      <c r="H60" s="58" t="n"/>
    </row>
    <row r="61" ht="18" customHeight="1">
      <c r="A61" s="19">
        <f>IF(B61="","",ROW()-3)</f>
        <v/>
      </c>
      <c r="B61" s="59" t="n"/>
      <c r="C61" s="58" t="n"/>
      <c r="D61" s="60" t="n"/>
      <c r="E61" s="58" t="n"/>
      <c r="F61" s="58" t="n"/>
      <c r="G61" s="58" t="n"/>
      <c r="H61" s="58" t="n"/>
    </row>
    <row r="62" ht="18" customHeight="1">
      <c r="A62" s="26">
        <f>IF(B62="","",ROW()-3)</f>
        <v/>
      </c>
      <c r="B62" s="59" t="n"/>
      <c r="C62" s="58" t="n"/>
      <c r="D62" s="60" t="n"/>
      <c r="E62" s="58" t="n"/>
      <c r="F62" s="58" t="n"/>
      <c r="G62" s="58" t="n"/>
      <c r="H62" s="58" t="n"/>
    </row>
    <row r="63" ht="18" customHeight="1">
      <c r="A63" s="19">
        <f>IF(B63="","",ROW()-3)</f>
        <v/>
      </c>
      <c r="B63" s="59" t="n"/>
      <c r="C63" s="58" t="n"/>
      <c r="D63" s="60" t="n"/>
      <c r="E63" s="58" t="n"/>
      <c r="F63" s="58" t="n"/>
      <c r="G63" s="58" t="n"/>
      <c r="H63" s="58" t="n"/>
    </row>
    <row r="64" ht="18" customHeight="1">
      <c r="A64" s="26">
        <f>IF(B64="","",ROW()-3)</f>
        <v/>
      </c>
      <c r="B64" s="59" t="n"/>
      <c r="C64" s="58" t="n"/>
      <c r="D64" s="60" t="n"/>
      <c r="E64" s="58" t="n"/>
      <c r="F64" s="58" t="n"/>
      <c r="G64" s="58" t="n"/>
      <c r="H64" s="58" t="n"/>
    </row>
    <row r="65" ht="18" customHeight="1">
      <c r="A65" s="19">
        <f>IF(B65="","",ROW()-3)</f>
        <v/>
      </c>
      <c r="B65" s="59" t="n"/>
      <c r="C65" s="58" t="n"/>
      <c r="D65" s="60" t="n"/>
      <c r="E65" s="58" t="n"/>
      <c r="F65" s="58" t="n"/>
      <c r="G65" s="58" t="n"/>
      <c r="H65" s="58" t="n"/>
    </row>
    <row r="66" ht="18" customHeight="1">
      <c r="A66" s="26">
        <f>IF(B66="","",ROW()-3)</f>
        <v/>
      </c>
      <c r="B66" s="59" t="n"/>
      <c r="C66" s="58" t="n"/>
      <c r="D66" s="60" t="n"/>
      <c r="E66" s="58" t="n"/>
      <c r="F66" s="58" t="n"/>
      <c r="G66" s="58" t="n"/>
      <c r="H66" s="58" t="n"/>
    </row>
    <row r="67" ht="18" customHeight="1">
      <c r="A67" s="19">
        <f>IF(B67="","",ROW()-3)</f>
        <v/>
      </c>
      <c r="B67" s="59" t="n"/>
      <c r="C67" s="58" t="n"/>
      <c r="D67" s="60" t="n"/>
      <c r="E67" s="58" t="n"/>
      <c r="F67" s="58" t="n"/>
      <c r="G67" s="58" t="n"/>
      <c r="H67" s="58" t="n"/>
    </row>
    <row r="68" ht="18" customHeight="1">
      <c r="A68" s="26">
        <f>IF(B68="","",ROW()-3)</f>
        <v/>
      </c>
      <c r="B68" s="59" t="n"/>
      <c r="C68" s="58" t="n"/>
      <c r="D68" s="60" t="n"/>
      <c r="E68" s="58" t="n"/>
      <c r="F68" s="58" t="n"/>
      <c r="G68" s="58" t="n"/>
      <c r="H68" s="58" t="n"/>
    </row>
    <row r="69" ht="18" customHeight="1">
      <c r="A69" s="19">
        <f>IF(B69="","",ROW()-3)</f>
        <v/>
      </c>
      <c r="B69" s="59" t="n"/>
      <c r="C69" s="58" t="n"/>
      <c r="D69" s="60" t="n"/>
      <c r="E69" s="58" t="n"/>
      <c r="F69" s="58" t="n"/>
      <c r="G69" s="58" t="n"/>
      <c r="H69" s="58" t="n"/>
    </row>
    <row r="70" ht="18" customHeight="1">
      <c r="A70" s="26">
        <f>IF(B70="","",ROW()-3)</f>
        <v/>
      </c>
      <c r="B70" s="59" t="n"/>
      <c r="C70" s="58" t="n"/>
      <c r="D70" s="60" t="n"/>
      <c r="E70" s="58" t="n"/>
      <c r="F70" s="58" t="n"/>
      <c r="G70" s="58" t="n"/>
      <c r="H70" s="58" t="n"/>
    </row>
    <row r="71" ht="18" customHeight="1">
      <c r="A71" s="19">
        <f>IF(B71="","",ROW()-3)</f>
        <v/>
      </c>
      <c r="B71" s="59" t="n"/>
      <c r="C71" s="58" t="n"/>
      <c r="D71" s="60" t="n"/>
      <c r="E71" s="58" t="n"/>
      <c r="F71" s="58" t="n"/>
      <c r="G71" s="58" t="n"/>
      <c r="H71" s="58" t="n"/>
    </row>
    <row r="72" ht="18" customHeight="1">
      <c r="A72" s="26">
        <f>IF(B72="","",ROW()-3)</f>
        <v/>
      </c>
      <c r="B72" s="59" t="n"/>
      <c r="C72" s="58" t="n"/>
      <c r="D72" s="60" t="n"/>
      <c r="E72" s="58" t="n"/>
      <c r="F72" s="58" t="n"/>
      <c r="G72" s="58" t="n"/>
      <c r="H72" s="58" t="n"/>
    </row>
    <row r="73" ht="18" customHeight="1">
      <c r="A73" s="19">
        <f>IF(B73="","",ROW()-3)</f>
        <v/>
      </c>
      <c r="B73" s="59" t="n"/>
      <c r="C73" s="58" t="n"/>
      <c r="D73" s="60" t="n"/>
      <c r="E73" s="58" t="n"/>
      <c r="F73" s="58" t="n"/>
      <c r="G73" s="58" t="n"/>
      <c r="H73" s="58" t="n"/>
    </row>
    <row r="74" ht="18" customHeight="1">
      <c r="A74" s="26">
        <f>IF(B74="","",ROW()-3)</f>
        <v/>
      </c>
      <c r="B74" s="59" t="n"/>
      <c r="C74" s="58" t="n"/>
      <c r="D74" s="60" t="n"/>
      <c r="E74" s="58" t="n"/>
      <c r="F74" s="58" t="n"/>
      <c r="G74" s="58" t="n"/>
      <c r="H74" s="58" t="n"/>
    </row>
    <row r="75" ht="18" customHeight="1">
      <c r="A75" s="19">
        <f>IF(B75="","",ROW()-3)</f>
        <v/>
      </c>
      <c r="B75" s="59" t="n"/>
      <c r="C75" s="58" t="n"/>
      <c r="D75" s="60" t="n"/>
      <c r="E75" s="58" t="n"/>
      <c r="F75" s="58" t="n"/>
      <c r="G75" s="58" t="n"/>
      <c r="H75" s="58" t="n"/>
    </row>
    <row r="76" ht="18" customHeight="1">
      <c r="A76" s="26">
        <f>IF(B76="","",ROW()-3)</f>
        <v/>
      </c>
      <c r="B76" s="59" t="n"/>
      <c r="C76" s="58" t="n"/>
      <c r="D76" s="60" t="n"/>
      <c r="E76" s="58" t="n"/>
      <c r="F76" s="58" t="n"/>
      <c r="G76" s="58" t="n"/>
      <c r="H76" s="58" t="n"/>
    </row>
    <row r="77" ht="18" customHeight="1">
      <c r="A77" s="19">
        <f>IF(B77="","",ROW()-3)</f>
        <v/>
      </c>
      <c r="B77" s="59" t="n"/>
      <c r="C77" s="58" t="n"/>
      <c r="D77" s="60" t="n"/>
      <c r="E77" s="58" t="n"/>
      <c r="F77" s="58" t="n"/>
      <c r="G77" s="58" t="n"/>
      <c r="H77" s="58" t="n"/>
    </row>
    <row r="78" ht="18" customHeight="1">
      <c r="A78" s="26">
        <f>IF(B78="","",ROW()-3)</f>
        <v/>
      </c>
      <c r="B78" s="59" t="n"/>
      <c r="C78" s="58" t="n"/>
      <c r="D78" s="60" t="n"/>
      <c r="E78" s="58" t="n"/>
      <c r="F78" s="58" t="n"/>
      <c r="G78" s="58" t="n"/>
      <c r="H78" s="58" t="n"/>
    </row>
    <row r="79" ht="18" customHeight="1">
      <c r="A79" s="19">
        <f>IF(B79="","",ROW()-3)</f>
        <v/>
      </c>
      <c r="B79" s="59" t="n"/>
      <c r="C79" s="58" t="n"/>
      <c r="D79" s="60" t="n"/>
      <c r="E79" s="58" t="n"/>
      <c r="F79" s="58" t="n"/>
      <c r="G79" s="58" t="n"/>
      <c r="H79" s="58" t="n"/>
    </row>
    <row r="80" ht="18" customHeight="1">
      <c r="A80" s="26">
        <f>IF(B80="","",ROW()-3)</f>
        <v/>
      </c>
      <c r="B80" s="59" t="n"/>
      <c r="C80" s="58" t="n"/>
      <c r="D80" s="60" t="n"/>
      <c r="E80" s="58" t="n"/>
      <c r="F80" s="58" t="n"/>
      <c r="G80" s="58" t="n"/>
      <c r="H80" s="58" t="n"/>
    </row>
    <row r="81" ht="18" customHeight="1">
      <c r="A81" s="19">
        <f>IF(B81="","",ROW()-3)</f>
        <v/>
      </c>
      <c r="B81" s="59" t="n"/>
      <c r="C81" s="58" t="n"/>
      <c r="D81" s="60" t="n"/>
      <c r="E81" s="58" t="n"/>
      <c r="F81" s="58" t="n"/>
      <c r="G81" s="58" t="n"/>
      <c r="H81" s="58" t="n"/>
    </row>
    <row r="82" ht="18" customHeight="1">
      <c r="A82" s="26">
        <f>IF(B82="","",ROW()-3)</f>
        <v/>
      </c>
      <c r="B82" s="59" t="n"/>
      <c r="C82" s="58" t="n"/>
      <c r="D82" s="60" t="n"/>
      <c r="E82" s="58" t="n"/>
      <c r="F82" s="58" t="n"/>
      <c r="G82" s="58" t="n"/>
      <c r="H82" s="58" t="n"/>
    </row>
    <row r="83" ht="18" customHeight="1">
      <c r="A83" s="19">
        <f>IF(B83="","",ROW()-3)</f>
        <v/>
      </c>
      <c r="B83" s="59" t="n"/>
      <c r="C83" s="58" t="n"/>
      <c r="D83" s="60" t="n"/>
      <c r="E83" s="58" t="n"/>
      <c r="F83" s="58" t="n"/>
      <c r="G83" s="58" t="n"/>
      <c r="H83" s="58" t="n"/>
    </row>
    <row r="84" ht="18" customHeight="1">
      <c r="A84" s="26">
        <f>IF(B84="","",ROW()-3)</f>
        <v/>
      </c>
      <c r="B84" s="59" t="n"/>
      <c r="C84" s="58" t="n"/>
      <c r="D84" s="60" t="n"/>
      <c r="E84" s="58" t="n"/>
      <c r="F84" s="58" t="n"/>
      <c r="G84" s="58" t="n"/>
      <c r="H84" s="58" t="n"/>
    </row>
    <row r="85" ht="18" customHeight="1">
      <c r="A85" s="19">
        <f>IF(B85="","",ROW()-3)</f>
        <v/>
      </c>
      <c r="B85" s="59" t="n"/>
      <c r="C85" s="58" t="n"/>
      <c r="D85" s="60" t="n"/>
      <c r="E85" s="58" t="n"/>
      <c r="F85" s="58" t="n"/>
      <c r="G85" s="58" t="n"/>
      <c r="H85" s="58" t="n"/>
    </row>
    <row r="86" ht="18" customHeight="1">
      <c r="A86" s="26">
        <f>IF(B86="","",ROW()-3)</f>
        <v/>
      </c>
      <c r="B86" s="59" t="n"/>
      <c r="C86" s="58" t="n"/>
      <c r="D86" s="60" t="n"/>
      <c r="E86" s="58" t="n"/>
      <c r="F86" s="58" t="n"/>
      <c r="G86" s="58" t="n"/>
      <c r="H86" s="58" t="n"/>
    </row>
    <row r="87" ht="18" customHeight="1">
      <c r="A87" s="19">
        <f>IF(B87="","",ROW()-3)</f>
        <v/>
      </c>
      <c r="B87" s="59" t="n"/>
      <c r="C87" s="58" t="n"/>
      <c r="D87" s="60" t="n"/>
      <c r="E87" s="58" t="n"/>
      <c r="F87" s="58" t="n"/>
      <c r="G87" s="58" t="n"/>
      <c r="H87" s="58" t="n"/>
    </row>
    <row r="88" ht="18" customHeight="1">
      <c r="A88" s="26">
        <f>IF(B88="","",ROW()-3)</f>
        <v/>
      </c>
      <c r="B88" s="59" t="n"/>
      <c r="C88" s="58" t="n"/>
      <c r="D88" s="60" t="n"/>
      <c r="E88" s="58" t="n"/>
      <c r="F88" s="58" t="n"/>
      <c r="G88" s="58" t="n"/>
      <c r="H88" s="58" t="n"/>
    </row>
    <row r="89" ht="18" customHeight="1">
      <c r="A89" s="19">
        <f>IF(B89="","",ROW()-3)</f>
        <v/>
      </c>
      <c r="B89" s="59" t="n"/>
      <c r="C89" s="58" t="n"/>
      <c r="D89" s="60" t="n"/>
      <c r="E89" s="58" t="n"/>
      <c r="F89" s="58" t="n"/>
      <c r="G89" s="58" t="n"/>
      <c r="H89" s="58" t="n"/>
    </row>
    <row r="90" ht="18" customHeight="1">
      <c r="A90" s="26">
        <f>IF(B90="","",ROW()-3)</f>
        <v/>
      </c>
      <c r="B90" s="59" t="n"/>
      <c r="C90" s="58" t="n"/>
      <c r="D90" s="60" t="n"/>
      <c r="E90" s="58" t="n"/>
      <c r="F90" s="58" t="n"/>
      <c r="G90" s="58" t="n"/>
      <c r="H90" s="58" t="n"/>
    </row>
    <row r="91" ht="18" customHeight="1">
      <c r="A91" s="19">
        <f>IF(B91="","",ROW()-3)</f>
        <v/>
      </c>
      <c r="B91" s="59" t="n"/>
      <c r="C91" s="58" t="n"/>
      <c r="D91" s="60" t="n"/>
      <c r="E91" s="58" t="n"/>
      <c r="F91" s="58" t="n"/>
      <c r="G91" s="58" t="n"/>
      <c r="H91" s="58" t="n"/>
    </row>
    <row r="92" ht="18" customHeight="1">
      <c r="A92" s="26">
        <f>IF(B92="","",ROW()-3)</f>
        <v/>
      </c>
      <c r="B92" s="59" t="n"/>
      <c r="C92" s="58" t="n"/>
      <c r="D92" s="60" t="n"/>
      <c r="E92" s="58" t="n"/>
      <c r="F92" s="58" t="n"/>
      <c r="G92" s="58" t="n"/>
      <c r="H92" s="58" t="n"/>
    </row>
    <row r="93" ht="18" customHeight="1">
      <c r="A93" s="19">
        <f>IF(B93="","",ROW()-3)</f>
        <v/>
      </c>
      <c r="B93" s="59" t="n"/>
      <c r="C93" s="58" t="n"/>
      <c r="D93" s="60" t="n"/>
      <c r="E93" s="58" t="n"/>
      <c r="F93" s="58" t="n"/>
      <c r="G93" s="58" t="n"/>
      <c r="H93" s="58" t="n"/>
    </row>
    <row r="94" ht="18" customHeight="1">
      <c r="A94" s="26">
        <f>IF(B94="","",ROW()-3)</f>
        <v/>
      </c>
      <c r="B94" s="59" t="n"/>
      <c r="C94" s="58" t="n"/>
      <c r="D94" s="60" t="n"/>
      <c r="E94" s="58" t="n"/>
      <c r="F94" s="58" t="n"/>
      <c r="G94" s="58" t="n"/>
      <c r="H94" s="58" t="n"/>
    </row>
    <row r="95" ht="18" customHeight="1">
      <c r="A95" s="19">
        <f>IF(B95="","",ROW()-3)</f>
        <v/>
      </c>
      <c r="B95" s="59" t="n"/>
      <c r="C95" s="58" t="n"/>
      <c r="D95" s="60" t="n"/>
      <c r="E95" s="58" t="n"/>
      <c r="F95" s="58" t="n"/>
      <c r="G95" s="58" t="n"/>
      <c r="H95" s="58" t="n"/>
    </row>
    <row r="96" ht="18" customHeight="1">
      <c r="A96" s="26">
        <f>IF(B96="","",ROW()-3)</f>
        <v/>
      </c>
      <c r="B96" s="59" t="n"/>
      <c r="C96" s="58" t="n"/>
      <c r="D96" s="60" t="n"/>
      <c r="E96" s="58" t="n"/>
      <c r="F96" s="58" t="n"/>
      <c r="G96" s="58" t="n"/>
      <c r="H96" s="58" t="n"/>
    </row>
    <row r="97" ht="18" customHeight="1">
      <c r="A97" s="19">
        <f>IF(B97="","",ROW()-3)</f>
        <v/>
      </c>
      <c r="B97" s="59" t="n"/>
      <c r="C97" s="58" t="n"/>
      <c r="D97" s="60" t="n"/>
      <c r="E97" s="58" t="n"/>
      <c r="F97" s="58" t="n"/>
      <c r="G97" s="58" t="n"/>
      <c r="H97" s="58" t="n"/>
    </row>
    <row r="98" ht="18" customHeight="1">
      <c r="A98" s="26">
        <f>IF(B98="","",ROW()-3)</f>
        <v/>
      </c>
      <c r="B98" s="59" t="n"/>
      <c r="C98" s="58" t="n"/>
      <c r="D98" s="60" t="n"/>
      <c r="E98" s="58" t="n"/>
      <c r="F98" s="58" t="n"/>
      <c r="G98" s="58" t="n"/>
      <c r="H98" s="58" t="n"/>
    </row>
    <row r="99" ht="18" customHeight="1">
      <c r="A99" s="19">
        <f>IF(B99="","",ROW()-3)</f>
        <v/>
      </c>
      <c r="B99" s="59" t="n"/>
      <c r="C99" s="58" t="n"/>
      <c r="D99" s="60" t="n"/>
      <c r="E99" s="58" t="n"/>
      <c r="F99" s="58" t="n"/>
      <c r="G99" s="58" t="n"/>
      <c r="H99" s="58" t="n"/>
    </row>
    <row r="100" ht="18" customHeight="1">
      <c r="A100" s="26">
        <f>IF(B100="","",ROW()-3)</f>
        <v/>
      </c>
      <c r="B100" s="59" t="n"/>
      <c r="C100" s="58" t="n"/>
      <c r="D100" s="60" t="n"/>
      <c r="E100" s="58" t="n"/>
      <c r="F100" s="58" t="n"/>
      <c r="G100" s="58" t="n"/>
      <c r="H100" s="58" t="n"/>
    </row>
    <row r="101" ht="18" customHeight="1">
      <c r="A101" s="19">
        <f>IF(B101="","",ROW()-3)</f>
        <v/>
      </c>
      <c r="B101" s="59" t="n"/>
      <c r="C101" s="58" t="n"/>
      <c r="D101" s="60" t="n"/>
      <c r="E101" s="58" t="n"/>
      <c r="F101" s="58" t="n"/>
      <c r="G101" s="58" t="n"/>
      <c r="H101" s="58" t="n"/>
    </row>
    <row r="102" ht="18" customHeight="1">
      <c r="A102" s="26">
        <f>IF(B102="","",ROW()-3)</f>
        <v/>
      </c>
      <c r="B102" s="59" t="n"/>
      <c r="C102" s="58" t="n"/>
      <c r="D102" s="60" t="n"/>
      <c r="E102" s="58" t="n"/>
      <c r="F102" s="58" t="n"/>
      <c r="G102" s="58" t="n"/>
      <c r="H102" s="58" t="n"/>
    </row>
    <row r="103" ht="18" customHeight="1">
      <c r="A103" s="19">
        <f>IF(B103="","",ROW()-3)</f>
        <v/>
      </c>
      <c r="B103" s="59" t="n"/>
      <c r="C103" s="58" t="n"/>
      <c r="D103" s="60" t="n"/>
      <c r="E103" s="58" t="n"/>
      <c r="F103" s="58" t="n"/>
      <c r="G103" s="58" t="n"/>
      <c r="H103" s="58" t="n"/>
    </row>
    <row r="104" ht="18" customHeight="1">
      <c r="A104" s="26">
        <f>IF(B104="","",ROW()-3)</f>
        <v/>
      </c>
      <c r="B104" s="59" t="n"/>
      <c r="C104" s="58" t="n"/>
      <c r="D104" s="60" t="n"/>
      <c r="E104" s="58" t="n"/>
      <c r="F104" s="58" t="n"/>
      <c r="G104" s="58" t="n"/>
      <c r="H104" s="58" t="n"/>
    </row>
    <row r="105" ht="18" customHeight="1">
      <c r="A105" s="19">
        <f>IF(B105="","",ROW()-3)</f>
        <v/>
      </c>
      <c r="B105" s="59" t="n"/>
      <c r="C105" s="58" t="n"/>
      <c r="D105" s="60" t="n"/>
      <c r="E105" s="58" t="n"/>
      <c r="F105" s="58" t="n"/>
      <c r="G105" s="58" t="n"/>
      <c r="H105" s="58" t="n"/>
    </row>
    <row r="106" ht="18" customHeight="1">
      <c r="A106" s="26">
        <f>IF(B106="","",ROW()-3)</f>
        <v/>
      </c>
      <c r="B106" s="59" t="n"/>
      <c r="C106" s="58" t="n"/>
      <c r="D106" s="60" t="n"/>
      <c r="E106" s="58" t="n"/>
      <c r="F106" s="58" t="n"/>
      <c r="G106" s="58" t="n"/>
      <c r="H106" s="58" t="n"/>
    </row>
    <row r="107" ht="18" customHeight="1">
      <c r="A107" s="19">
        <f>IF(B107="","",ROW()-3)</f>
        <v/>
      </c>
      <c r="B107" s="59" t="n"/>
      <c r="C107" s="58" t="n"/>
      <c r="D107" s="60" t="n"/>
      <c r="E107" s="58" t="n"/>
      <c r="F107" s="58" t="n"/>
      <c r="G107" s="58" t="n"/>
      <c r="H107" s="58" t="n"/>
    </row>
    <row r="108" ht="18" customHeight="1">
      <c r="A108" s="26">
        <f>IF(B108="","",ROW()-3)</f>
        <v/>
      </c>
      <c r="B108" s="59" t="n"/>
      <c r="C108" s="58" t="n"/>
      <c r="D108" s="60" t="n"/>
      <c r="E108" s="58" t="n"/>
      <c r="F108" s="58" t="n"/>
      <c r="G108" s="58" t="n"/>
      <c r="H108" s="58" t="n"/>
    </row>
    <row r="109" ht="18" customHeight="1">
      <c r="A109" s="19">
        <f>IF(B109="","",ROW()-3)</f>
        <v/>
      </c>
      <c r="B109" s="59" t="n"/>
      <c r="C109" s="58" t="n"/>
      <c r="D109" s="60" t="n"/>
      <c r="E109" s="58" t="n"/>
      <c r="F109" s="58" t="n"/>
      <c r="G109" s="58" t="n"/>
      <c r="H109" s="58" t="n"/>
    </row>
    <row r="110" ht="18" customHeight="1">
      <c r="A110" s="26">
        <f>IF(B110="","",ROW()-3)</f>
        <v/>
      </c>
      <c r="B110" s="59" t="n"/>
      <c r="C110" s="58" t="n"/>
      <c r="D110" s="60" t="n"/>
      <c r="E110" s="58" t="n"/>
      <c r="F110" s="58" t="n"/>
      <c r="G110" s="58" t="n"/>
      <c r="H110" s="58" t="n"/>
    </row>
    <row r="111" ht="18" customHeight="1">
      <c r="A111" s="19">
        <f>IF(B111="","",ROW()-3)</f>
        <v/>
      </c>
      <c r="B111" s="59" t="n"/>
      <c r="C111" s="58" t="n"/>
      <c r="D111" s="60" t="n"/>
      <c r="E111" s="58" t="n"/>
      <c r="F111" s="58" t="n"/>
      <c r="G111" s="58" t="n"/>
      <c r="H111" s="58" t="n"/>
    </row>
    <row r="112" ht="18" customHeight="1">
      <c r="A112" s="26">
        <f>IF(B112="","",ROW()-3)</f>
        <v/>
      </c>
      <c r="B112" s="59" t="n"/>
      <c r="C112" s="58" t="n"/>
      <c r="D112" s="60" t="n"/>
      <c r="E112" s="58" t="n"/>
      <c r="F112" s="58" t="n"/>
      <c r="G112" s="58" t="n"/>
      <c r="H112" s="58" t="n"/>
    </row>
    <row r="113" ht="18" customHeight="1">
      <c r="A113" s="19">
        <f>IF(B113="","",ROW()-3)</f>
        <v/>
      </c>
      <c r="B113" s="59" t="n"/>
      <c r="C113" s="58" t="n"/>
      <c r="D113" s="60" t="n"/>
      <c r="E113" s="58" t="n"/>
      <c r="F113" s="58" t="n"/>
      <c r="G113" s="58" t="n"/>
      <c r="H113" s="58" t="n"/>
    </row>
    <row r="114" ht="18" customHeight="1">
      <c r="A114" s="26">
        <f>IF(B114="","",ROW()-3)</f>
        <v/>
      </c>
      <c r="B114" s="59" t="n"/>
      <c r="C114" s="58" t="n"/>
      <c r="D114" s="60" t="n"/>
      <c r="E114" s="58" t="n"/>
      <c r="F114" s="58" t="n"/>
      <c r="G114" s="58" t="n"/>
      <c r="H114" s="58" t="n"/>
    </row>
    <row r="115" ht="18" customHeight="1">
      <c r="A115" s="19">
        <f>IF(B115="","",ROW()-3)</f>
        <v/>
      </c>
      <c r="B115" s="59" t="n"/>
      <c r="C115" s="58" t="n"/>
      <c r="D115" s="60" t="n"/>
      <c r="E115" s="58" t="n"/>
      <c r="F115" s="58" t="n"/>
      <c r="G115" s="58" t="n"/>
      <c r="H115" s="58" t="n"/>
    </row>
    <row r="116" ht="18" customHeight="1">
      <c r="A116" s="26">
        <f>IF(B116="","",ROW()-3)</f>
        <v/>
      </c>
      <c r="B116" s="59" t="n"/>
      <c r="C116" s="58" t="n"/>
      <c r="D116" s="60" t="n"/>
      <c r="E116" s="58" t="n"/>
      <c r="F116" s="58" t="n"/>
      <c r="G116" s="58" t="n"/>
      <c r="H116" s="58" t="n"/>
    </row>
    <row r="117" ht="18" customHeight="1">
      <c r="A117" s="19">
        <f>IF(B117="","",ROW()-3)</f>
        <v/>
      </c>
      <c r="B117" s="59" t="n"/>
      <c r="C117" s="58" t="n"/>
      <c r="D117" s="60" t="n"/>
      <c r="E117" s="58" t="n"/>
      <c r="F117" s="58" t="n"/>
      <c r="G117" s="58" t="n"/>
      <c r="H117" s="58" t="n"/>
    </row>
    <row r="118" ht="18" customHeight="1">
      <c r="A118" s="26">
        <f>IF(B118="","",ROW()-3)</f>
        <v/>
      </c>
      <c r="B118" s="59" t="n"/>
      <c r="C118" s="58" t="n"/>
      <c r="D118" s="60" t="n"/>
      <c r="E118" s="58" t="n"/>
      <c r="F118" s="58" t="n"/>
      <c r="G118" s="58" t="n"/>
      <c r="H118" s="58" t="n"/>
    </row>
    <row r="119" ht="18" customHeight="1">
      <c r="A119" s="19">
        <f>IF(B119="","",ROW()-3)</f>
        <v/>
      </c>
      <c r="B119" s="59" t="n"/>
      <c r="C119" s="58" t="n"/>
      <c r="D119" s="60" t="n"/>
      <c r="E119" s="58" t="n"/>
      <c r="F119" s="58" t="n"/>
      <c r="G119" s="58" t="n"/>
      <c r="H119" s="58" t="n"/>
    </row>
    <row r="120" ht="18" customHeight="1">
      <c r="A120" s="26">
        <f>IF(B120="","",ROW()-3)</f>
        <v/>
      </c>
      <c r="B120" s="59" t="n"/>
      <c r="C120" s="58" t="n"/>
      <c r="D120" s="60" t="n"/>
      <c r="E120" s="58" t="n"/>
      <c r="F120" s="58" t="n"/>
      <c r="G120" s="58" t="n"/>
      <c r="H120" s="58" t="n"/>
    </row>
    <row r="121" ht="18" customHeight="1">
      <c r="A121" s="19">
        <f>IF(B121="","",ROW()-3)</f>
        <v/>
      </c>
      <c r="B121" s="59" t="n"/>
      <c r="C121" s="58" t="n"/>
      <c r="D121" s="60" t="n"/>
      <c r="E121" s="58" t="n"/>
      <c r="F121" s="58" t="n"/>
      <c r="G121" s="58" t="n"/>
      <c r="H121" s="58" t="n"/>
    </row>
    <row r="122" ht="18" customHeight="1">
      <c r="A122" s="26">
        <f>IF(B122="","",ROW()-3)</f>
        <v/>
      </c>
      <c r="B122" s="59" t="n"/>
      <c r="C122" s="58" t="n"/>
      <c r="D122" s="60" t="n"/>
      <c r="E122" s="58" t="n"/>
      <c r="F122" s="58" t="n"/>
      <c r="G122" s="58" t="n"/>
      <c r="H122" s="58" t="n"/>
    </row>
    <row r="123" ht="18" customHeight="1">
      <c r="A123" s="19">
        <f>IF(B123="","",ROW()-3)</f>
        <v/>
      </c>
      <c r="B123" s="59" t="n"/>
      <c r="C123" s="58" t="n"/>
      <c r="D123" s="60" t="n"/>
      <c r="E123" s="58" t="n"/>
      <c r="F123" s="58" t="n"/>
      <c r="G123" s="58" t="n"/>
      <c r="H123" s="58" t="n"/>
    </row>
    <row r="124" ht="18" customHeight="1">
      <c r="A124" s="26">
        <f>IF(B124="","",ROW()-3)</f>
        <v/>
      </c>
      <c r="B124" s="59" t="n"/>
      <c r="C124" s="58" t="n"/>
      <c r="D124" s="60" t="n"/>
      <c r="E124" s="58" t="n"/>
      <c r="F124" s="58" t="n"/>
      <c r="G124" s="58" t="n"/>
      <c r="H124" s="58" t="n"/>
    </row>
    <row r="125" ht="18" customHeight="1">
      <c r="A125" s="19">
        <f>IF(B125="","",ROW()-3)</f>
        <v/>
      </c>
      <c r="B125" s="59" t="n"/>
      <c r="C125" s="58" t="n"/>
      <c r="D125" s="60" t="n"/>
      <c r="E125" s="58" t="n"/>
      <c r="F125" s="58" t="n"/>
      <c r="G125" s="58" t="n"/>
      <c r="H125" s="58" t="n"/>
    </row>
    <row r="126" ht="18" customHeight="1">
      <c r="A126" s="26">
        <f>IF(B126="","",ROW()-3)</f>
        <v/>
      </c>
      <c r="B126" s="59" t="n"/>
      <c r="C126" s="58" t="n"/>
      <c r="D126" s="60" t="n"/>
      <c r="E126" s="58" t="n"/>
      <c r="F126" s="58" t="n"/>
      <c r="G126" s="58" t="n"/>
      <c r="H126" s="58" t="n"/>
    </row>
    <row r="127" ht="18" customHeight="1">
      <c r="A127" s="19">
        <f>IF(B127="","",ROW()-3)</f>
        <v/>
      </c>
      <c r="B127" s="59" t="n"/>
      <c r="C127" s="58" t="n"/>
      <c r="D127" s="60" t="n"/>
      <c r="E127" s="58" t="n"/>
      <c r="F127" s="58" t="n"/>
      <c r="G127" s="58" t="n"/>
      <c r="H127" s="58" t="n"/>
    </row>
    <row r="128" ht="18" customHeight="1">
      <c r="A128" s="26">
        <f>IF(B128="","",ROW()-3)</f>
        <v/>
      </c>
      <c r="B128" s="59" t="n"/>
      <c r="C128" s="58" t="n"/>
      <c r="D128" s="60" t="n"/>
      <c r="E128" s="58" t="n"/>
      <c r="F128" s="58" t="n"/>
      <c r="G128" s="58" t="n"/>
      <c r="H128" s="58" t="n"/>
    </row>
    <row r="129" ht="18" customHeight="1">
      <c r="A129" s="19">
        <f>IF(B129="","",ROW()-3)</f>
        <v/>
      </c>
      <c r="B129" s="59" t="n"/>
      <c r="C129" s="58" t="n"/>
      <c r="D129" s="60" t="n"/>
      <c r="E129" s="58" t="n"/>
      <c r="F129" s="58" t="n"/>
      <c r="G129" s="58" t="n"/>
      <c r="H129" s="58" t="n"/>
    </row>
    <row r="130" ht="18" customHeight="1">
      <c r="A130" s="26">
        <f>IF(B130="","",ROW()-3)</f>
        <v/>
      </c>
      <c r="B130" s="59" t="n"/>
      <c r="C130" s="58" t="n"/>
      <c r="D130" s="60" t="n"/>
      <c r="E130" s="58" t="n"/>
      <c r="F130" s="58" t="n"/>
      <c r="G130" s="58" t="n"/>
      <c r="H130" s="58" t="n"/>
    </row>
    <row r="131" ht="18" customHeight="1">
      <c r="A131" s="19">
        <f>IF(B131="","",ROW()-3)</f>
        <v/>
      </c>
      <c r="B131" s="59" t="n"/>
      <c r="C131" s="58" t="n"/>
      <c r="D131" s="60" t="n"/>
      <c r="E131" s="58" t="n"/>
      <c r="F131" s="58" t="n"/>
      <c r="G131" s="58" t="n"/>
      <c r="H131" s="58" t="n"/>
    </row>
    <row r="132" ht="18" customHeight="1">
      <c r="A132" s="26">
        <f>IF(B132="","",ROW()-3)</f>
        <v/>
      </c>
      <c r="B132" s="59" t="n"/>
      <c r="C132" s="58" t="n"/>
      <c r="D132" s="60" t="n"/>
      <c r="E132" s="58" t="n"/>
      <c r="F132" s="58" t="n"/>
      <c r="G132" s="58" t="n"/>
      <c r="H132" s="58" t="n"/>
    </row>
    <row r="133" ht="18" customHeight="1">
      <c r="A133" s="19">
        <f>IF(B133="","",ROW()-3)</f>
        <v/>
      </c>
      <c r="B133" s="59" t="n"/>
      <c r="C133" s="58" t="n"/>
      <c r="D133" s="60" t="n"/>
      <c r="E133" s="58" t="n"/>
      <c r="F133" s="58" t="n"/>
      <c r="G133" s="58" t="n"/>
      <c r="H133" s="58" t="n"/>
    </row>
    <row r="134" ht="18" customHeight="1">
      <c r="A134" s="26">
        <f>IF(B134="","",ROW()-3)</f>
        <v/>
      </c>
      <c r="B134" s="59" t="n"/>
      <c r="C134" s="58" t="n"/>
      <c r="D134" s="60" t="n"/>
      <c r="E134" s="58" t="n"/>
      <c r="F134" s="58" t="n"/>
      <c r="G134" s="58" t="n"/>
      <c r="H134" s="58" t="n"/>
    </row>
    <row r="135" ht="18" customHeight="1">
      <c r="A135" s="19">
        <f>IF(B135="","",ROW()-3)</f>
        <v/>
      </c>
      <c r="B135" s="59" t="n"/>
      <c r="C135" s="58" t="n"/>
      <c r="D135" s="60" t="n"/>
      <c r="E135" s="58" t="n"/>
      <c r="F135" s="58" t="n"/>
      <c r="G135" s="58" t="n"/>
      <c r="H135" s="58" t="n"/>
    </row>
    <row r="136" ht="18" customHeight="1">
      <c r="A136" s="26">
        <f>IF(B136="","",ROW()-3)</f>
        <v/>
      </c>
      <c r="B136" s="59" t="n"/>
      <c r="C136" s="58" t="n"/>
      <c r="D136" s="60" t="n"/>
      <c r="E136" s="58" t="n"/>
      <c r="F136" s="58" t="n"/>
      <c r="G136" s="58" t="n"/>
      <c r="H136" s="58" t="n"/>
    </row>
    <row r="137" ht="18" customHeight="1">
      <c r="A137" s="19">
        <f>IF(B137="","",ROW()-3)</f>
        <v/>
      </c>
      <c r="B137" s="59" t="n"/>
      <c r="C137" s="58" t="n"/>
      <c r="D137" s="60" t="n"/>
      <c r="E137" s="58" t="n"/>
      <c r="F137" s="58" t="n"/>
      <c r="G137" s="58" t="n"/>
      <c r="H137" s="58" t="n"/>
    </row>
    <row r="138" ht="18" customHeight="1">
      <c r="A138" s="26">
        <f>IF(B138="","",ROW()-3)</f>
        <v/>
      </c>
      <c r="B138" s="59" t="n"/>
      <c r="C138" s="58" t="n"/>
      <c r="D138" s="60" t="n"/>
      <c r="E138" s="58" t="n"/>
      <c r="F138" s="58" t="n"/>
      <c r="G138" s="58" t="n"/>
      <c r="H138" s="58" t="n"/>
    </row>
    <row r="139" ht="18" customHeight="1">
      <c r="A139" s="19">
        <f>IF(B139="","",ROW()-3)</f>
        <v/>
      </c>
      <c r="B139" s="59" t="n"/>
      <c r="C139" s="58" t="n"/>
      <c r="D139" s="60" t="n"/>
      <c r="E139" s="58" t="n"/>
      <c r="F139" s="58" t="n"/>
      <c r="G139" s="58" t="n"/>
      <c r="H139" s="58" t="n"/>
    </row>
    <row r="140" ht="18" customHeight="1">
      <c r="A140" s="26">
        <f>IF(B140="","",ROW()-3)</f>
        <v/>
      </c>
      <c r="B140" s="59" t="n"/>
      <c r="C140" s="58" t="n"/>
      <c r="D140" s="60" t="n"/>
      <c r="E140" s="58" t="n"/>
      <c r="F140" s="58" t="n"/>
      <c r="G140" s="58" t="n"/>
      <c r="H140" s="58" t="n"/>
    </row>
    <row r="141" ht="18" customHeight="1">
      <c r="A141" s="19">
        <f>IF(B141="","",ROW()-3)</f>
        <v/>
      </c>
      <c r="B141" s="59" t="n"/>
      <c r="C141" s="58" t="n"/>
      <c r="D141" s="60" t="n"/>
      <c r="E141" s="58" t="n"/>
      <c r="F141" s="58" t="n"/>
      <c r="G141" s="58" t="n"/>
      <c r="H141" s="58" t="n"/>
    </row>
    <row r="142" ht="18" customHeight="1">
      <c r="A142" s="26">
        <f>IF(B142="","",ROW()-3)</f>
        <v/>
      </c>
      <c r="B142" s="59" t="n"/>
      <c r="C142" s="58" t="n"/>
      <c r="D142" s="60" t="n"/>
      <c r="E142" s="58" t="n"/>
      <c r="F142" s="58" t="n"/>
      <c r="G142" s="58" t="n"/>
      <c r="H142" s="58" t="n"/>
    </row>
    <row r="143" ht="18" customHeight="1">
      <c r="A143" s="19">
        <f>IF(B143="","",ROW()-3)</f>
        <v/>
      </c>
      <c r="B143" s="59" t="n"/>
      <c r="C143" s="58" t="n"/>
      <c r="D143" s="60" t="n"/>
      <c r="E143" s="58" t="n"/>
      <c r="F143" s="58" t="n"/>
      <c r="G143" s="58" t="n"/>
      <c r="H143" s="58" t="n"/>
    </row>
    <row r="144" ht="18" customHeight="1">
      <c r="A144" s="26">
        <f>IF(B144="","",ROW()-3)</f>
        <v/>
      </c>
      <c r="B144" s="59" t="n"/>
      <c r="C144" s="58" t="n"/>
      <c r="D144" s="60" t="n"/>
      <c r="E144" s="58" t="n"/>
      <c r="F144" s="58" t="n"/>
      <c r="G144" s="58" t="n"/>
      <c r="H144" s="58" t="n"/>
    </row>
    <row r="145" ht="18" customHeight="1">
      <c r="A145" s="19">
        <f>IF(B145="","",ROW()-3)</f>
        <v/>
      </c>
      <c r="B145" s="59" t="n"/>
      <c r="C145" s="58" t="n"/>
      <c r="D145" s="60" t="n"/>
      <c r="E145" s="58" t="n"/>
      <c r="F145" s="58" t="n"/>
      <c r="G145" s="58" t="n"/>
      <c r="H145" s="58" t="n"/>
    </row>
    <row r="146" ht="18" customHeight="1">
      <c r="A146" s="26">
        <f>IF(B146="","",ROW()-3)</f>
        <v/>
      </c>
      <c r="B146" s="59" t="n"/>
      <c r="C146" s="58" t="n"/>
      <c r="D146" s="60" t="n"/>
      <c r="E146" s="58" t="n"/>
      <c r="F146" s="58" t="n"/>
      <c r="G146" s="58" t="n"/>
      <c r="H146" s="58" t="n"/>
    </row>
    <row r="147" ht="18" customHeight="1">
      <c r="A147" s="19">
        <f>IF(B147="","",ROW()-3)</f>
        <v/>
      </c>
      <c r="B147" s="59" t="n"/>
      <c r="C147" s="58" t="n"/>
      <c r="D147" s="60" t="n"/>
      <c r="E147" s="58" t="n"/>
      <c r="F147" s="58" t="n"/>
      <c r="G147" s="58" t="n"/>
      <c r="H147" s="58" t="n"/>
    </row>
    <row r="148" ht="18" customHeight="1">
      <c r="A148" s="26">
        <f>IF(B148="","",ROW()-3)</f>
        <v/>
      </c>
      <c r="B148" s="59" t="n"/>
      <c r="C148" s="58" t="n"/>
      <c r="D148" s="60" t="n"/>
      <c r="E148" s="58" t="n"/>
      <c r="F148" s="58" t="n"/>
      <c r="G148" s="58" t="n"/>
      <c r="H148" s="58" t="n"/>
    </row>
    <row r="149" ht="18" customHeight="1">
      <c r="A149" s="19">
        <f>IF(B149="","",ROW()-3)</f>
        <v/>
      </c>
      <c r="B149" s="59" t="n"/>
      <c r="C149" s="58" t="n"/>
      <c r="D149" s="60" t="n"/>
      <c r="E149" s="58" t="n"/>
      <c r="F149" s="58" t="n"/>
      <c r="G149" s="58" t="n"/>
      <c r="H149" s="58" t="n"/>
    </row>
    <row r="150" ht="18" customHeight="1">
      <c r="A150" s="26">
        <f>IF(B150="","",ROW()-3)</f>
        <v/>
      </c>
      <c r="B150" s="59" t="n"/>
      <c r="C150" s="58" t="n"/>
      <c r="D150" s="60" t="n"/>
      <c r="E150" s="58" t="n"/>
      <c r="F150" s="58" t="n"/>
      <c r="G150" s="58" t="n"/>
      <c r="H150" s="58" t="n"/>
    </row>
    <row r="151" ht="18" customHeight="1">
      <c r="A151" s="19">
        <f>IF(B151="","",ROW()-3)</f>
        <v/>
      </c>
      <c r="B151" s="59" t="n"/>
      <c r="C151" s="58" t="n"/>
      <c r="D151" s="60" t="n"/>
      <c r="E151" s="58" t="n"/>
      <c r="F151" s="58" t="n"/>
      <c r="G151" s="58" t="n"/>
      <c r="H151" s="58" t="n"/>
    </row>
    <row r="152" ht="18" customHeight="1">
      <c r="A152" s="26">
        <f>IF(B152="","",ROW()-3)</f>
        <v/>
      </c>
      <c r="B152" s="59" t="n"/>
      <c r="C152" s="58" t="n"/>
      <c r="D152" s="60" t="n"/>
      <c r="E152" s="58" t="n"/>
      <c r="F152" s="58" t="n"/>
      <c r="G152" s="58" t="n"/>
      <c r="H152" s="58" t="n"/>
    </row>
    <row r="153" ht="18" customHeight="1">
      <c r="A153" s="19">
        <f>IF(B153="","",ROW()-3)</f>
        <v/>
      </c>
      <c r="B153" s="59" t="n"/>
      <c r="C153" s="58" t="n"/>
      <c r="D153" s="60" t="n"/>
      <c r="E153" s="58" t="n"/>
      <c r="F153" s="58" t="n"/>
      <c r="G153" s="58" t="n"/>
      <c r="H153" s="58" t="n"/>
    </row>
    <row r="154" ht="18" customHeight="1">
      <c r="A154" s="26">
        <f>IF(B154="","",ROW()-3)</f>
        <v/>
      </c>
      <c r="B154" s="59" t="n"/>
      <c r="C154" s="58" t="n"/>
      <c r="D154" s="60" t="n"/>
      <c r="E154" s="58" t="n"/>
      <c r="F154" s="58" t="n"/>
      <c r="G154" s="58" t="n"/>
      <c r="H154" s="58" t="n"/>
    </row>
    <row r="155" ht="18" customHeight="1">
      <c r="A155" s="19">
        <f>IF(B155="","",ROW()-3)</f>
        <v/>
      </c>
      <c r="B155" s="59" t="n"/>
      <c r="C155" s="58" t="n"/>
      <c r="D155" s="60" t="n"/>
      <c r="E155" s="58" t="n"/>
      <c r="F155" s="58" t="n"/>
      <c r="G155" s="58" t="n"/>
      <c r="H155" s="58" t="n"/>
    </row>
    <row r="156" ht="18" customHeight="1">
      <c r="A156" s="26">
        <f>IF(B156="","",ROW()-3)</f>
        <v/>
      </c>
      <c r="B156" s="59" t="n"/>
      <c r="C156" s="58" t="n"/>
      <c r="D156" s="60" t="n"/>
      <c r="E156" s="58" t="n"/>
      <c r="F156" s="58" t="n"/>
      <c r="G156" s="58" t="n"/>
      <c r="H156" s="58" t="n"/>
    </row>
    <row r="157" ht="18" customHeight="1">
      <c r="A157" s="19">
        <f>IF(B157="","",ROW()-3)</f>
        <v/>
      </c>
      <c r="B157" s="59" t="n"/>
      <c r="C157" s="58" t="n"/>
      <c r="D157" s="60" t="n"/>
      <c r="E157" s="58" t="n"/>
      <c r="F157" s="58" t="n"/>
      <c r="G157" s="58" t="n"/>
      <c r="H157" s="58" t="n"/>
    </row>
    <row r="158" ht="18" customHeight="1">
      <c r="A158" s="26">
        <f>IF(B158="","",ROW()-3)</f>
        <v/>
      </c>
      <c r="B158" s="59" t="n"/>
      <c r="C158" s="58" t="n"/>
      <c r="D158" s="60" t="n"/>
      <c r="E158" s="58" t="n"/>
      <c r="F158" s="58" t="n"/>
      <c r="G158" s="58" t="n"/>
      <c r="H158" s="58" t="n"/>
    </row>
    <row r="159" ht="18" customHeight="1">
      <c r="A159" s="19">
        <f>IF(B159="","",ROW()-3)</f>
        <v/>
      </c>
      <c r="B159" s="59" t="n"/>
      <c r="C159" s="58" t="n"/>
      <c r="D159" s="60" t="n"/>
      <c r="E159" s="58" t="n"/>
      <c r="F159" s="58" t="n"/>
      <c r="G159" s="58" t="n"/>
      <c r="H159" s="58" t="n"/>
    </row>
    <row r="160" ht="18" customHeight="1">
      <c r="A160" s="26">
        <f>IF(B160="","",ROW()-3)</f>
        <v/>
      </c>
      <c r="B160" s="59" t="n"/>
      <c r="C160" s="58" t="n"/>
      <c r="D160" s="60" t="n"/>
      <c r="E160" s="58" t="n"/>
      <c r="F160" s="58" t="n"/>
      <c r="G160" s="58" t="n"/>
      <c r="H160" s="58" t="n"/>
    </row>
    <row r="161" ht="18" customHeight="1">
      <c r="A161" s="19">
        <f>IF(B161="","",ROW()-3)</f>
        <v/>
      </c>
      <c r="B161" s="59" t="n"/>
      <c r="C161" s="58" t="n"/>
      <c r="D161" s="60" t="n"/>
      <c r="E161" s="58" t="n"/>
      <c r="F161" s="58" t="n"/>
      <c r="G161" s="58" t="n"/>
      <c r="H161" s="58" t="n"/>
    </row>
    <row r="162" ht="18" customHeight="1">
      <c r="A162" s="26">
        <f>IF(B162="","",ROW()-3)</f>
        <v/>
      </c>
      <c r="B162" s="59" t="n"/>
      <c r="C162" s="58" t="n"/>
      <c r="D162" s="60" t="n"/>
      <c r="E162" s="58" t="n"/>
      <c r="F162" s="58" t="n"/>
      <c r="G162" s="58" t="n"/>
      <c r="H162" s="58" t="n"/>
    </row>
    <row r="163" ht="18" customHeight="1">
      <c r="A163" s="19">
        <f>IF(B163="","",ROW()-3)</f>
        <v/>
      </c>
      <c r="B163" s="59" t="n"/>
      <c r="C163" s="58" t="n"/>
      <c r="D163" s="60" t="n"/>
      <c r="E163" s="58" t="n"/>
      <c r="F163" s="58" t="n"/>
      <c r="G163" s="58" t="n"/>
      <c r="H163" s="58" t="n"/>
    </row>
    <row r="164" ht="18" customHeight="1">
      <c r="A164" s="26">
        <f>IF(B164="","",ROW()-3)</f>
        <v/>
      </c>
      <c r="B164" s="59" t="n"/>
      <c r="C164" s="58" t="n"/>
      <c r="D164" s="60" t="n"/>
      <c r="E164" s="58" t="n"/>
      <c r="F164" s="58" t="n"/>
      <c r="G164" s="58" t="n"/>
      <c r="H164" s="58" t="n"/>
    </row>
    <row r="165" ht="18" customHeight="1">
      <c r="A165" s="19">
        <f>IF(B165="","",ROW()-3)</f>
        <v/>
      </c>
      <c r="B165" s="59" t="n"/>
      <c r="C165" s="58" t="n"/>
      <c r="D165" s="60" t="n"/>
      <c r="E165" s="58" t="n"/>
      <c r="F165" s="58" t="n"/>
      <c r="G165" s="58" t="n"/>
      <c r="H165" s="58" t="n"/>
    </row>
    <row r="166" ht="18" customHeight="1">
      <c r="A166" s="26">
        <f>IF(B166="","",ROW()-3)</f>
        <v/>
      </c>
      <c r="B166" s="59" t="n"/>
      <c r="C166" s="58" t="n"/>
      <c r="D166" s="60" t="n"/>
      <c r="E166" s="58" t="n"/>
      <c r="F166" s="58" t="n"/>
      <c r="G166" s="58" t="n"/>
      <c r="H166" s="58" t="n"/>
    </row>
    <row r="167" ht="18" customHeight="1">
      <c r="A167" s="19">
        <f>IF(B167="","",ROW()-3)</f>
        <v/>
      </c>
      <c r="B167" s="59" t="n"/>
      <c r="C167" s="58" t="n"/>
      <c r="D167" s="60" t="n"/>
      <c r="E167" s="58" t="n"/>
      <c r="F167" s="58" t="n"/>
      <c r="G167" s="58" t="n"/>
      <c r="H167" s="58" t="n"/>
    </row>
    <row r="168" ht="18" customHeight="1">
      <c r="A168" s="26">
        <f>IF(B168="","",ROW()-3)</f>
        <v/>
      </c>
      <c r="B168" s="59" t="n"/>
      <c r="C168" s="58" t="n"/>
      <c r="D168" s="60" t="n"/>
      <c r="E168" s="58" t="n"/>
      <c r="F168" s="58" t="n"/>
      <c r="G168" s="58" t="n"/>
      <c r="H168" s="58" t="n"/>
    </row>
    <row r="169" ht="18" customHeight="1">
      <c r="A169" s="19">
        <f>IF(B169="","",ROW()-3)</f>
        <v/>
      </c>
      <c r="B169" s="59" t="n"/>
      <c r="C169" s="58" t="n"/>
      <c r="D169" s="60" t="n"/>
      <c r="E169" s="58" t="n"/>
      <c r="F169" s="58" t="n"/>
      <c r="G169" s="58" t="n"/>
      <c r="H169" s="58" t="n"/>
    </row>
    <row r="170" ht="18" customHeight="1">
      <c r="A170" s="26">
        <f>IF(B170="","",ROW()-3)</f>
        <v/>
      </c>
      <c r="B170" s="59" t="n"/>
      <c r="C170" s="58" t="n"/>
      <c r="D170" s="60" t="n"/>
      <c r="E170" s="58" t="n"/>
      <c r="F170" s="58" t="n"/>
      <c r="G170" s="58" t="n"/>
      <c r="H170" s="58" t="n"/>
    </row>
    <row r="171" ht="18" customHeight="1">
      <c r="A171" s="19">
        <f>IF(B171="","",ROW()-3)</f>
        <v/>
      </c>
      <c r="B171" s="59" t="n"/>
      <c r="C171" s="58" t="n"/>
      <c r="D171" s="60" t="n"/>
      <c r="E171" s="58" t="n"/>
      <c r="F171" s="58" t="n"/>
      <c r="G171" s="58" t="n"/>
      <c r="H171" s="58" t="n"/>
    </row>
    <row r="172" ht="18" customHeight="1">
      <c r="A172" s="26">
        <f>IF(B172="","",ROW()-3)</f>
        <v/>
      </c>
      <c r="B172" s="59" t="n"/>
      <c r="C172" s="58" t="n"/>
      <c r="D172" s="60" t="n"/>
      <c r="E172" s="58" t="n"/>
      <c r="F172" s="58" t="n"/>
      <c r="G172" s="58" t="n"/>
      <c r="H172" s="58" t="n"/>
    </row>
    <row r="173" ht="18" customHeight="1">
      <c r="A173" s="19">
        <f>IF(B173="","",ROW()-3)</f>
        <v/>
      </c>
      <c r="B173" s="59" t="n"/>
      <c r="C173" s="58" t="n"/>
      <c r="D173" s="60" t="n"/>
      <c r="E173" s="58" t="n"/>
      <c r="F173" s="58" t="n"/>
      <c r="G173" s="58" t="n"/>
      <c r="H173" s="58" t="n"/>
    </row>
    <row r="174" ht="18" customHeight="1">
      <c r="A174" s="26">
        <f>IF(B174="","",ROW()-3)</f>
        <v/>
      </c>
      <c r="B174" s="59" t="n"/>
      <c r="C174" s="58" t="n"/>
      <c r="D174" s="60" t="n"/>
      <c r="E174" s="58" t="n"/>
      <c r="F174" s="58" t="n"/>
      <c r="G174" s="58" t="n"/>
      <c r="H174" s="58" t="n"/>
    </row>
    <row r="175" ht="18" customHeight="1">
      <c r="A175" s="19">
        <f>IF(B175="","",ROW()-3)</f>
        <v/>
      </c>
      <c r="B175" s="59" t="n"/>
      <c r="C175" s="58" t="n"/>
      <c r="D175" s="60" t="n"/>
      <c r="E175" s="58" t="n"/>
      <c r="F175" s="58" t="n"/>
      <c r="G175" s="58" t="n"/>
      <c r="H175" s="58" t="n"/>
    </row>
    <row r="176" ht="18" customHeight="1">
      <c r="A176" s="26">
        <f>IF(B176="","",ROW()-3)</f>
        <v/>
      </c>
      <c r="B176" s="59" t="n"/>
      <c r="C176" s="58" t="n"/>
      <c r="D176" s="60" t="n"/>
      <c r="E176" s="58" t="n"/>
      <c r="F176" s="58" t="n"/>
      <c r="G176" s="58" t="n"/>
      <c r="H176" s="58" t="n"/>
    </row>
    <row r="177" ht="18" customHeight="1">
      <c r="A177" s="19">
        <f>IF(B177="","",ROW()-3)</f>
        <v/>
      </c>
      <c r="B177" s="59" t="n"/>
      <c r="C177" s="58" t="n"/>
      <c r="D177" s="60" t="n"/>
      <c r="E177" s="58" t="n"/>
      <c r="F177" s="58" t="n"/>
      <c r="G177" s="58" t="n"/>
      <c r="H177" s="58" t="n"/>
    </row>
    <row r="178" ht="18" customHeight="1">
      <c r="A178" s="26">
        <f>IF(B178="","",ROW()-3)</f>
        <v/>
      </c>
      <c r="B178" s="59" t="n"/>
      <c r="C178" s="58" t="n"/>
      <c r="D178" s="60" t="n"/>
      <c r="E178" s="58" t="n"/>
      <c r="F178" s="58" t="n"/>
      <c r="G178" s="58" t="n"/>
      <c r="H178" s="58" t="n"/>
    </row>
    <row r="179" ht="18" customHeight="1">
      <c r="A179" s="19">
        <f>IF(B179="","",ROW()-3)</f>
        <v/>
      </c>
      <c r="B179" s="59" t="n"/>
      <c r="C179" s="58" t="n"/>
      <c r="D179" s="60" t="n"/>
      <c r="E179" s="58" t="n"/>
      <c r="F179" s="58" t="n"/>
      <c r="G179" s="58" t="n"/>
      <c r="H179" s="58" t="n"/>
    </row>
    <row r="180" ht="18" customHeight="1">
      <c r="A180" s="26">
        <f>IF(B180="","",ROW()-3)</f>
        <v/>
      </c>
      <c r="B180" s="59" t="n"/>
      <c r="C180" s="58" t="n"/>
      <c r="D180" s="60" t="n"/>
      <c r="E180" s="58" t="n"/>
      <c r="F180" s="58" t="n"/>
      <c r="G180" s="58" t="n"/>
      <c r="H180" s="58" t="n"/>
    </row>
    <row r="181" ht="18" customHeight="1">
      <c r="A181" s="19">
        <f>IF(B181="","",ROW()-3)</f>
        <v/>
      </c>
      <c r="B181" s="59" t="n"/>
      <c r="C181" s="58" t="n"/>
      <c r="D181" s="60" t="n"/>
      <c r="E181" s="58" t="n"/>
      <c r="F181" s="58" t="n"/>
      <c r="G181" s="58" t="n"/>
      <c r="H181" s="58" t="n"/>
    </row>
    <row r="182" ht="18" customHeight="1">
      <c r="A182" s="26">
        <f>IF(B182="","",ROW()-3)</f>
        <v/>
      </c>
      <c r="B182" s="59" t="n"/>
      <c r="C182" s="58" t="n"/>
      <c r="D182" s="60" t="n"/>
      <c r="E182" s="58" t="n"/>
      <c r="F182" s="58" t="n"/>
      <c r="G182" s="58" t="n"/>
      <c r="H182" s="58" t="n"/>
    </row>
    <row r="183" ht="18" customHeight="1">
      <c r="A183" s="19">
        <f>IF(B183="","",ROW()-3)</f>
        <v/>
      </c>
      <c r="B183" s="59" t="n"/>
      <c r="C183" s="58" t="n"/>
      <c r="D183" s="60" t="n"/>
      <c r="E183" s="58" t="n"/>
      <c r="F183" s="58" t="n"/>
      <c r="G183" s="58" t="n"/>
      <c r="H183" s="58" t="n"/>
    </row>
    <row r="184" ht="18" customHeight="1">
      <c r="A184" s="26">
        <f>IF(B184="","",ROW()-3)</f>
        <v/>
      </c>
      <c r="B184" s="59" t="n"/>
      <c r="C184" s="58" t="n"/>
      <c r="D184" s="60" t="n"/>
      <c r="E184" s="58" t="n"/>
      <c r="F184" s="58" t="n"/>
      <c r="G184" s="58" t="n"/>
      <c r="H184" s="58" t="n"/>
    </row>
    <row r="185" ht="18" customHeight="1">
      <c r="A185" s="19">
        <f>IF(B185="","",ROW()-3)</f>
        <v/>
      </c>
      <c r="B185" s="59" t="n"/>
      <c r="C185" s="58" t="n"/>
      <c r="D185" s="60" t="n"/>
      <c r="E185" s="58" t="n"/>
      <c r="F185" s="58" t="n"/>
      <c r="G185" s="58" t="n"/>
      <c r="H185" s="58" t="n"/>
    </row>
    <row r="186" ht="18" customHeight="1">
      <c r="A186" s="26">
        <f>IF(B186="","",ROW()-3)</f>
        <v/>
      </c>
      <c r="B186" s="59" t="n"/>
      <c r="C186" s="58" t="n"/>
      <c r="D186" s="60" t="n"/>
      <c r="E186" s="58" t="n"/>
      <c r="F186" s="58" t="n"/>
      <c r="G186" s="58" t="n"/>
      <c r="H186" s="58" t="n"/>
    </row>
    <row r="187" ht="18" customHeight="1">
      <c r="A187" s="19">
        <f>IF(B187="","",ROW()-3)</f>
        <v/>
      </c>
      <c r="B187" s="59" t="n"/>
      <c r="C187" s="58" t="n"/>
      <c r="D187" s="60" t="n"/>
      <c r="E187" s="58" t="n"/>
      <c r="F187" s="58" t="n"/>
      <c r="G187" s="58" t="n"/>
      <c r="H187" s="58" t="n"/>
    </row>
    <row r="188" ht="18" customHeight="1">
      <c r="A188" s="26">
        <f>IF(B188="","",ROW()-3)</f>
        <v/>
      </c>
      <c r="B188" s="59" t="n"/>
      <c r="C188" s="58" t="n"/>
      <c r="D188" s="60" t="n"/>
      <c r="E188" s="58" t="n"/>
      <c r="F188" s="58" t="n"/>
      <c r="G188" s="58" t="n"/>
      <c r="H188" s="58" t="n"/>
    </row>
    <row r="189" ht="18" customHeight="1">
      <c r="A189" s="19">
        <f>IF(B189="","",ROW()-3)</f>
        <v/>
      </c>
      <c r="B189" s="59" t="n"/>
      <c r="C189" s="58" t="n"/>
      <c r="D189" s="60" t="n"/>
      <c r="E189" s="58" t="n"/>
      <c r="F189" s="58" t="n"/>
      <c r="G189" s="58" t="n"/>
      <c r="H189" s="58" t="n"/>
    </row>
    <row r="190" ht="18" customHeight="1">
      <c r="A190" s="26">
        <f>IF(B190="","",ROW()-3)</f>
        <v/>
      </c>
      <c r="B190" s="59" t="n"/>
      <c r="C190" s="58" t="n"/>
      <c r="D190" s="60" t="n"/>
      <c r="E190" s="58" t="n"/>
      <c r="F190" s="58" t="n"/>
      <c r="G190" s="58" t="n"/>
      <c r="H190" s="58" t="n"/>
    </row>
    <row r="191" ht="18" customHeight="1">
      <c r="A191" s="19">
        <f>IF(B191="","",ROW()-3)</f>
        <v/>
      </c>
      <c r="B191" s="59" t="n"/>
      <c r="C191" s="58" t="n"/>
      <c r="D191" s="60" t="n"/>
      <c r="E191" s="58" t="n"/>
      <c r="F191" s="58" t="n"/>
      <c r="G191" s="58" t="n"/>
      <c r="H191" s="58" t="n"/>
    </row>
    <row r="192" ht="18" customHeight="1">
      <c r="A192" s="26">
        <f>IF(B192="","",ROW()-3)</f>
        <v/>
      </c>
      <c r="B192" s="59" t="n"/>
      <c r="C192" s="58" t="n"/>
      <c r="D192" s="60" t="n"/>
      <c r="E192" s="58" t="n"/>
      <c r="F192" s="58" t="n"/>
      <c r="G192" s="58" t="n"/>
      <c r="H192" s="58" t="n"/>
    </row>
    <row r="193" ht="18" customHeight="1">
      <c r="A193" s="19">
        <f>IF(B193="","",ROW()-3)</f>
        <v/>
      </c>
      <c r="B193" s="59" t="n"/>
      <c r="C193" s="58" t="n"/>
      <c r="D193" s="60" t="n"/>
      <c r="E193" s="58" t="n"/>
      <c r="F193" s="58" t="n"/>
      <c r="G193" s="58" t="n"/>
      <c r="H193" s="58" t="n"/>
    </row>
    <row r="194" ht="18" customHeight="1">
      <c r="A194" s="26">
        <f>IF(B194="","",ROW()-3)</f>
        <v/>
      </c>
      <c r="B194" s="59" t="n"/>
      <c r="C194" s="58" t="n"/>
      <c r="D194" s="60" t="n"/>
      <c r="E194" s="58" t="n"/>
      <c r="F194" s="58" t="n"/>
      <c r="G194" s="58" t="n"/>
      <c r="H194" s="58" t="n"/>
    </row>
    <row r="195" ht="18" customHeight="1">
      <c r="A195" s="19">
        <f>IF(B195="","",ROW()-3)</f>
        <v/>
      </c>
      <c r="B195" s="59" t="n"/>
      <c r="C195" s="58" t="n"/>
      <c r="D195" s="60" t="n"/>
      <c r="E195" s="58" t="n"/>
      <c r="F195" s="58" t="n"/>
      <c r="G195" s="58" t="n"/>
      <c r="H195" s="58" t="n"/>
    </row>
    <row r="196" ht="18" customHeight="1">
      <c r="A196" s="26">
        <f>IF(B196="","",ROW()-3)</f>
        <v/>
      </c>
      <c r="B196" s="59" t="n"/>
      <c r="C196" s="58" t="n"/>
      <c r="D196" s="60" t="n"/>
      <c r="E196" s="58" t="n"/>
      <c r="F196" s="58" t="n"/>
      <c r="G196" s="58" t="n"/>
      <c r="H196" s="58" t="n"/>
    </row>
    <row r="197" ht="18" customHeight="1">
      <c r="A197" s="19">
        <f>IF(B197="","",ROW()-3)</f>
        <v/>
      </c>
      <c r="B197" s="59" t="n"/>
      <c r="C197" s="58" t="n"/>
      <c r="D197" s="60" t="n"/>
      <c r="E197" s="58" t="n"/>
      <c r="F197" s="58" t="n"/>
      <c r="G197" s="58" t="n"/>
      <c r="H197" s="58" t="n"/>
    </row>
    <row r="198" ht="18" customHeight="1">
      <c r="A198" s="26">
        <f>IF(B198="","",ROW()-3)</f>
        <v/>
      </c>
      <c r="B198" s="59" t="n"/>
      <c r="C198" s="58" t="n"/>
      <c r="D198" s="60" t="n"/>
      <c r="E198" s="58" t="n"/>
      <c r="F198" s="58" t="n"/>
      <c r="G198" s="58" t="n"/>
      <c r="H198" s="58" t="n"/>
    </row>
    <row r="199" ht="18" customHeight="1">
      <c r="A199" s="19">
        <f>IF(B199="","",ROW()-3)</f>
        <v/>
      </c>
      <c r="B199" s="59" t="n"/>
      <c r="C199" s="58" t="n"/>
      <c r="D199" s="60" t="n"/>
      <c r="E199" s="58" t="n"/>
      <c r="F199" s="58" t="n"/>
      <c r="G199" s="58" t="n"/>
      <c r="H199" s="58" t="n"/>
    </row>
    <row r="200" ht="18" customHeight="1">
      <c r="A200" s="26">
        <f>IF(B200="","",ROW()-3)</f>
        <v/>
      </c>
      <c r="B200" s="59" t="n"/>
      <c r="C200" s="58" t="n"/>
      <c r="D200" s="60" t="n"/>
      <c r="E200" s="58" t="n"/>
      <c r="F200" s="58" t="n"/>
      <c r="G200" s="58" t="n"/>
      <c r="H200" s="58" t="n"/>
    </row>
    <row r="201" ht="18" customHeight="1">
      <c r="A201" s="19">
        <f>IF(B201="","",ROW()-3)</f>
        <v/>
      </c>
      <c r="B201" s="59" t="n"/>
      <c r="C201" s="58" t="n"/>
      <c r="D201" s="60" t="n"/>
      <c r="E201" s="58" t="n"/>
      <c r="F201" s="58" t="n"/>
      <c r="G201" s="58" t="n"/>
      <c r="H201" s="58" t="n"/>
    </row>
    <row r="202" ht="18" customHeight="1">
      <c r="A202" s="26">
        <f>IF(B202="","",ROW()-3)</f>
        <v/>
      </c>
      <c r="B202" s="59" t="n"/>
      <c r="C202" s="58" t="n"/>
      <c r="D202" s="60" t="n"/>
      <c r="E202" s="58" t="n"/>
      <c r="F202" s="58" t="n"/>
      <c r="G202" s="58" t="n"/>
      <c r="H202" s="58" t="n"/>
    </row>
    <row r="203" ht="18" customHeight="1">
      <c r="A203" s="19">
        <f>IF(B203="","",ROW()-3)</f>
        <v/>
      </c>
      <c r="B203" s="59" t="n"/>
      <c r="C203" s="58" t="n"/>
      <c r="D203" s="60" t="n"/>
      <c r="E203" s="58" t="n"/>
      <c r="F203" s="58" t="n"/>
      <c r="G203" s="58" t="n"/>
      <c r="H203" s="58" t="n"/>
    </row>
  </sheetData>
  <autoFilter ref="A3:H203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16" customWidth="1" min="6" max="6"/>
    <col width="14" customWidth="1" min="7" max="7"/>
    <col width="18" customWidth="1" min="8" max="8"/>
    <col width="20" customWidth="1" min="9" max="9"/>
  </cols>
  <sheetData>
    <row r="1" ht="28" customHeight="1">
      <c r="A1" s="1" t="inlineStr">
        <is>
          <t>📈 月度汇总  |  全年经营一览</t>
        </is>
      </c>
    </row>
    <row r="2" ht="30" customHeight="1">
      <c r="A2" s="3" t="inlineStr">
        <is>
          <t>月份</t>
        </is>
      </c>
      <c r="B2" s="3" t="inlineStr">
        <is>
          <t>销售天数</t>
        </is>
      </c>
      <c r="C2" s="3" t="inlineStr">
        <is>
          <t>月总销售额(¥)</t>
        </is>
      </c>
      <c r="D2" s="3" t="inlineStr">
        <is>
          <t>销售件数</t>
        </is>
      </c>
      <c r="E2" s="3" t="inlineStr">
        <is>
          <t>店员A工资(¥)</t>
        </is>
      </c>
      <c r="F2" s="3" t="inlineStr">
        <is>
          <t>店员B工资(¥)</t>
        </is>
      </c>
      <c r="G2" s="3" t="inlineStr">
        <is>
          <t>提成合计(¥)</t>
        </is>
      </c>
      <c r="H2" s="3" t="inlineStr">
        <is>
          <t>经营达标情况</t>
        </is>
      </c>
      <c r="I2" s="3" t="inlineStr">
        <is>
          <t>备注</t>
        </is>
      </c>
    </row>
    <row r="3" ht="22" customHeight="1">
      <c r="A3" s="61" t="inlineStr">
        <is>
          <t>2026-01</t>
        </is>
      </c>
      <c r="B3" s="23" t="n"/>
      <c r="C3" s="62" t="n"/>
      <c r="D3" s="23" t="n"/>
      <c r="E3" s="62" t="n"/>
      <c r="F3" s="62" t="n"/>
      <c r="G3" s="62" t="n"/>
      <c r="H3" s="23" t="n"/>
      <c r="I3" s="23" t="n"/>
    </row>
    <row r="4" ht="22" customHeight="1">
      <c r="A4" s="63" t="inlineStr">
        <is>
          <t>2026-02</t>
        </is>
      </c>
      <c r="B4" s="23" t="n"/>
      <c r="C4" s="62" t="n"/>
      <c r="D4" s="23" t="n"/>
      <c r="E4" s="62" t="n"/>
      <c r="F4" s="62" t="n"/>
      <c r="G4" s="62" t="n"/>
      <c r="H4" s="23" t="n"/>
      <c r="I4" s="23" t="n"/>
    </row>
    <row r="5" ht="22" customHeight="1">
      <c r="A5" s="61" t="inlineStr">
        <is>
          <t>2026-03</t>
        </is>
      </c>
      <c r="B5" s="23" t="n"/>
      <c r="C5" s="62" t="n"/>
      <c r="D5" s="23" t="n"/>
      <c r="E5" s="62" t="n"/>
      <c r="F5" s="62" t="n"/>
      <c r="G5" s="62" t="n"/>
      <c r="H5" s="23" t="n"/>
      <c r="I5" s="23" t="n"/>
    </row>
    <row r="6" ht="22" customHeight="1">
      <c r="A6" s="63" t="inlineStr">
        <is>
          <t>2026-04</t>
        </is>
      </c>
      <c r="B6" s="23" t="n"/>
      <c r="C6" s="62" t="n"/>
      <c r="D6" s="23" t="n"/>
      <c r="E6" s="62" t="n"/>
      <c r="F6" s="62" t="n"/>
      <c r="G6" s="62" t="n"/>
      <c r="H6" s="23" t="n"/>
      <c r="I6" s="23" t="n"/>
    </row>
    <row r="7" ht="22" customHeight="1">
      <c r="A7" s="61" t="inlineStr">
        <is>
          <t>2026-05</t>
        </is>
      </c>
      <c r="B7" s="23" t="n"/>
      <c r="C7" s="62" t="n"/>
      <c r="D7" s="23" t="n"/>
      <c r="E7" s="62" t="n"/>
      <c r="F7" s="62" t="n"/>
      <c r="G7" s="62" t="n"/>
      <c r="H7" s="23" t="n"/>
      <c r="I7" s="23" t="n"/>
    </row>
    <row r="8" ht="22" customHeight="1">
      <c r="A8" s="63" t="inlineStr">
        <is>
          <t>2026-06</t>
        </is>
      </c>
      <c r="B8" s="23" t="n"/>
      <c r="C8" s="62" t="n"/>
      <c r="D8" s="23" t="n"/>
      <c r="E8" s="62" t="n"/>
      <c r="F8" s="62" t="n"/>
      <c r="G8" s="62" t="n"/>
      <c r="H8" s="23" t="n"/>
      <c r="I8" s="23" t="n"/>
    </row>
    <row r="9" ht="22" customHeight="1">
      <c r="A9" s="61" t="inlineStr">
        <is>
          <t>2026-07</t>
        </is>
      </c>
      <c r="B9" s="23" t="n"/>
      <c r="C9" s="62" t="n"/>
      <c r="D9" s="23" t="n"/>
      <c r="E9" s="62" t="n"/>
      <c r="F9" s="62" t="n"/>
      <c r="G9" s="62" t="n"/>
      <c r="H9" s="23" t="n"/>
      <c r="I9" s="23" t="n"/>
    </row>
    <row r="10" ht="22" customHeight="1">
      <c r="A10" s="63" t="inlineStr">
        <is>
          <t>2026-08</t>
        </is>
      </c>
      <c r="B10" s="23" t="n"/>
      <c r="C10" s="62" t="n"/>
      <c r="D10" s="23" t="n"/>
      <c r="E10" s="62" t="n"/>
      <c r="F10" s="62" t="n"/>
      <c r="G10" s="62" t="n"/>
      <c r="H10" s="23" t="n"/>
      <c r="I10" s="23" t="n"/>
    </row>
    <row r="11" ht="22" customHeight="1">
      <c r="A11" s="61" t="inlineStr">
        <is>
          <t>2026-09</t>
        </is>
      </c>
      <c r="B11" s="23" t="n"/>
      <c r="C11" s="62" t="n"/>
      <c r="D11" s="23" t="n"/>
      <c r="E11" s="62" t="n"/>
      <c r="F11" s="62" t="n"/>
      <c r="G11" s="62" t="n"/>
      <c r="H11" s="23" t="n"/>
      <c r="I11" s="23" t="n"/>
    </row>
    <row r="12" ht="22" customHeight="1">
      <c r="A12" s="63" t="inlineStr">
        <is>
          <t>2026-10</t>
        </is>
      </c>
      <c r="B12" s="23" t="n"/>
      <c r="C12" s="62" t="n"/>
      <c r="D12" s="23" t="n"/>
      <c r="E12" s="62" t="n"/>
      <c r="F12" s="62" t="n"/>
      <c r="G12" s="62" t="n"/>
      <c r="H12" s="23" t="n"/>
      <c r="I12" s="23" t="n"/>
    </row>
    <row r="13" ht="22" customHeight="1">
      <c r="A13" s="61" t="inlineStr">
        <is>
          <t>2026-11</t>
        </is>
      </c>
      <c r="B13" s="23" t="n"/>
      <c r="C13" s="62" t="n"/>
      <c r="D13" s="23" t="n"/>
      <c r="E13" s="62" t="n"/>
      <c r="F13" s="62" t="n"/>
      <c r="G13" s="62" t="n"/>
      <c r="H13" s="23" t="n"/>
      <c r="I13" s="23" t="n"/>
    </row>
    <row r="14" ht="22" customHeight="1">
      <c r="A14" s="63" t="inlineStr">
        <is>
          <t>2026-12</t>
        </is>
      </c>
      <c r="B14" s="23" t="n"/>
      <c r="C14" s="62" t="n"/>
      <c r="D14" s="23" t="n"/>
      <c r="E14" s="62" t="n"/>
      <c r="F14" s="62" t="n"/>
      <c r="G14" s="62" t="n"/>
      <c r="H14" s="23" t="n"/>
      <c r="I14" s="23" t="n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36" customWidth="1" min="4" max="4"/>
    <col width="18" customWidth="1" min="5" max="5"/>
    <col width="7" customWidth="1" min="6" max="6"/>
    <col width="11" customWidth="1" min="7" max="7"/>
    <col width="10" customWidth="1" min="8" max="8"/>
    <col width="10" customWidth="1" min="9" max="9"/>
    <col width="10" customWidth="1" min="10" max="10"/>
    <col width="42" customWidth="1" min="11" max="11"/>
    <col width="22" customWidth="1" min="12" max="12"/>
  </cols>
  <sheetData>
    <row r="1" ht="28" customHeight="1">
      <c r="A1" s="1" t="inlineStr">
        <is>
          <t>🚚 补货导出  |  基于库存自动生成补货清单，发给仓库补货</t>
        </is>
      </c>
    </row>
    <row r="2" ht="18" customHeight="1">
      <c r="A2" s="2" t="inlineStr">
        <is>
          <t>💡 补货数量 = 建议库存 - 期末库存（自动算）| 建议库存可修改 | 复制数据区发给仓库即可</t>
        </is>
      </c>
    </row>
    <row r="3" ht="30" customHeight="1">
      <c r="A3" s="3" t="inlineStr">
        <is>
          <t>序号</t>
        </is>
      </c>
      <c r="B3" s="3" t="inlineStr">
        <is>
          <t>货号(SKU)</t>
        </is>
      </c>
      <c r="C3" s="3" t="inlineStr">
        <is>
          <t>款式编码</t>
        </is>
      </c>
      <c r="D3" s="3" t="inlineStr">
        <is>
          <t>商品名称</t>
        </is>
      </c>
      <c r="E3" s="3" t="inlineStr">
        <is>
          <t>颜色</t>
        </is>
      </c>
      <c r="F3" s="3" t="inlineStr">
        <is>
          <t>尺码</t>
        </is>
      </c>
      <c r="G3" s="3" t="inlineStr">
        <is>
          <t>售价(¥)</t>
        </is>
      </c>
      <c r="H3" s="3" t="inlineStr">
        <is>
          <t>当前库存</t>
        </is>
      </c>
      <c r="I3" s="3" t="inlineStr">
        <is>
          <t>建议库存</t>
        </is>
      </c>
      <c r="J3" s="3" t="inlineStr">
        <is>
          <t>补货数量</t>
        </is>
      </c>
      <c r="K3" s="3" t="inlineStr">
        <is>
          <t>图片链接</t>
        </is>
      </c>
      <c r="L3" s="3" t="inlineStr">
        <is>
          <t>供应商/备注</t>
        </is>
      </c>
    </row>
    <row r="4" ht="17" customHeight="1">
      <c r="A4" s="4" t="n">
        <v>1</v>
      </c>
      <c r="B4" s="4" t="inlineStr">
        <is>
          <t>NS2614-L</t>
        </is>
      </c>
      <c r="C4" s="4" t="inlineStr">
        <is>
          <t>NS2614</t>
        </is>
      </c>
      <c r="D4" s="5" t="inlineStr">
        <is>
          <t>扭捏niunie 复古格子全羊毛格子外套七分袖短裤宽松衬衫上衣女</t>
        </is>
      </c>
      <c r="E4" s="5" t="inlineStr">
        <is>
          <t>七分袖格子毛呢外套</t>
        </is>
      </c>
      <c r="F4" s="4" t="inlineStr">
        <is>
          <t>L</t>
        </is>
      </c>
      <c r="G4" s="6" t="n">
        <v>799</v>
      </c>
      <c r="H4" s="21" t="n">
        <v>6</v>
      </c>
      <c r="I4" s="58" t="n">
        <v>3</v>
      </c>
      <c r="J4" s="64">
        <f>MAX(I4-H4,0)</f>
        <v/>
      </c>
      <c r="K4" s="65" t="inlineStr">
        <is>
          <t>https://img.alicdn.com/bao/uploaded/i1/2217590670593/O1CN014SZXqr1GFdzaJafbf~crop,0,57,1440,1440~_!!2217590670593.jpg</t>
        </is>
      </c>
      <c r="L4" s="66" t="n"/>
    </row>
    <row r="5" ht="17" customHeight="1">
      <c r="A5" s="8" t="n">
        <v>2</v>
      </c>
      <c r="B5" s="8" t="inlineStr">
        <is>
          <t>NS2614-M</t>
        </is>
      </c>
      <c r="C5" s="8" t="inlineStr">
        <is>
          <t>NS2614</t>
        </is>
      </c>
      <c r="D5" s="9" t="inlineStr">
        <is>
          <t>扭捏niunie 复古格子全羊毛格子外套七分袖短裤宽松衬衫上衣女</t>
        </is>
      </c>
      <c r="E5" s="9" t="inlineStr">
        <is>
          <t>七分袖格子毛呢外套</t>
        </is>
      </c>
      <c r="F5" s="8" t="inlineStr">
        <is>
          <t>M</t>
        </is>
      </c>
      <c r="G5" s="10" t="n">
        <v>799</v>
      </c>
      <c r="H5" s="21" t="n">
        <v>1</v>
      </c>
      <c r="I5" s="58" t="n">
        <v>3</v>
      </c>
      <c r="J5" s="64">
        <f>MAX(I5-H5,0)</f>
        <v/>
      </c>
      <c r="K5" s="67" t="inlineStr">
        <is>
          <t>https://img.alicdn.com/bao/uploaded/i1/2217590670593/O1CN014SZXqr1GFdzaJafbf~crop,0,57,1440,1440~_!!2217590670593.jpg</t>
        </is>
      </c>
      <c r="L5" s="66" t="n"/>
    </row>
    <row r="6" ht="17" customHeight="1">
      <c r="A6" s="4" t="n">
        <v>3</v>
      </c>
      <c r="B6" s="4" t="inlineStr">
        <is>
          <t>NS2614-S</t>
        </is>
      </c>
      <c r="C6" s="4" t="inlineStr">
        <is>
          <t>NS2614</t>
        </is>
      </c>
      <c r="D6" s="5" t="inlineStr">
        <is>
          <t>扭捏niunie 复古格子全羊毛格子外套七分袖短裤宽松衬衫上衣女</t>
        </is>
      </c>
      <c r="E6" s="5" t="inlineStr">
        <is>
          <t>七分袖格子毛呢外套</t>
        </is>
      </c>
      <c r="F6" s="4" t="inlineStr">
        <is>
          <t>S</t>
        </is>
      </c>
      <c r="G6" s="6" t="n">
        <v>799</v>
      </c>
      <c r="H6" s="21" t="n">
        <v>0</v>
      </c>
      <c r="I6" s="58" t="n">
        <v>3</v>
      </c>
      <c r="J6" s="64">
        <f>MAX(I6-H6,0)</f>
        <v/>
      </c>
      <c r="K6" s="65" t="inlineStr">
        <is>
          <t>https://img.alicdn.com/bao/uploaded/i1/2217590670593/O1CN014SZXqr1GFdzaJafbf~crop,0,57,1440,1440~_!!2217590670593.jpg</t>
        </is>
      </c>
      <c r="L6" s="66" t="n"/>
    </row>
    <row r="7" ht="17" customHeight="1">
      <c r="A7" s="8" t="n">
        <v>4</v>
      </c>
      <c r="B7" s="8" t="inlineStr">
        <is>
          <t>NS2613-M</t>
        </is>
      </c>
      <c r="C7" s="8" t="inlineStr">
        <is>
          <t>NS2613</t>
        </is>
      </c>
      <c r="D7" s="9" t="inlineStr">
        <is>
          <t>扭捏niunie 黄色小碎花两面穿半身裙女打褶中长款甜美A字伞裙夏季</t>
        </is>
      </c>
      <c r="E7" s="9" t="inlineStr">
        <is>
          <t>黄色小碎花两面穿半身裙</t>
        </is>
      </c>
      <c r="F7" s="8" t="inlineStr">
        <is>
          <t>M</t>
        </is>
      </c>
      <c r="G7" s="10" t="n">
        <v>439</v>
      </c>
      <c r="H7" s="21" t="n">
        <v>4</v>
      </c>
      <c r="I7" s="58" t="n">
        <v>3</v>
      </c>
      <c r="J7" s="64">
        <f>MAX(I7-H7,0)</f>
        <v/>
      </c>
      <c r="K7" s="67" t="inlineStr">
        <is>
          <t>https://img.alicdn.com/bao/uploaded/i3/2217590670593/O1CN013VOeEz1GFdzbUPeAA~crop,0,240,1440,1440~_!!2217590670593.jpg</t>
        </is>
      </c>
      <c r="L7" s="66" t="n"/>
    </row>
    <row r="8" ht="17" customHeight="1">
      <c r="A8" s="4" t="n">
        <v>5</v>
      </c>
      <c r="B8" s="4" t="inlineStr">
        <is>
          <t>NS2613-S</t>
        </is>
      </c>
      <c r="C8" s="4" t="inlineStr">
        <is>
          <t>NS2613</t>
        </is>
      </c>
      <c r="D8" s="5" t="inlineStr">
        <is>
          <t>扭捏niunie 黄色小碎花两面穿半身裙女打褶中长款甜美A字伞裙夏季</t>
        </is>
      </c>
      <c r="E8" s="5" t="inlineStr">
        <is>
          <t>黄色小碎花两面穿半身裙</t>
        </is>
      </c>
      <c r="F8" s="4" t="inlineStr">
        <is>
          <t>S</t>
        </is>
      </c>
      <c r="G8" s="6" t="n">
        <v>439</v>
      </c>
      <c r="H8" s="21" t="n">
        <v>2</v>
      </c>
      <c r="I8" s="58" t="n">
        <v>3</v>
      </c>
      <c r="J8" s="64">
        <f>MAX(I8-H8,0)</f>
        <v/>
      </c>
      <c r="K8" s="65" t="inlineStr">
        <is>
          <t>https://img.alicdn.com/bao/uploaded/i3/2217590670593/O1CN013VOeEz1GFdzbUPeAA~crop,0,240,1440,1440~_!!2217590670593.jpg</t>
        </is>
      </c>
      <c r="L8" s="66" t="n"/>
    </row>
    <row r="9" ht="17" customHeight="1">
      <c r="A9" s="8" t="n">
        <v>6</v>
      </c>
      <c r="B9" s="8" t="inlineStr">
        <is>
          <t>NS2611-M</t>
        </is>
      </c>
      <c r="C9" s="8" t="inlineStr">
        <is>
          <t>NS2611+NS2612</t>
        </is>
      </c>
      <c r="D9" s="9" t="inlineStr">
        <is>
          <t>扭捏niunie甜美清新花边口袋樱桃提花拼接圆领短袖衬衫花苞裤套装</t>
        </is>
      </c>
      <c r="E9" s="9" t="inlineStr">
        <is>
          <t>樱桃提花有口袋衬衫</t>
        </is>
      </c>
      <c r="F9" s="8" t="inlineStr">
        <is>
          <t>M</t>
        </is>
      </c>
      <c r="G9" s="10" t="n">
        <v>369</v>
      </c>
      <c r="H9" s="21" t="n">
        <v>23</v>
      </c>
      <c r="I9" s="58" t="n">
        <v>3</v>
      </c>
      <c r="J9" s="64">
        <f>MAX(I9-H9,0)</f>
        <v/>
      </c>
      <c r="K9" s="67" t="inlineStr">
        <is>
          <t>https://img.alicdn.com/bao/uploaded/i2/2217590670593/O1CN01xgSwHZ1GFdzaMGyRv~crop,0,240,1440,1440~_!!2217590670593.jpg</t>
        </is>
      </c>
      <c r="L9" s="66" t="n"/>
    </row>
    <row r="10" ht="17" customHeight="1">
      <c r="A10" s="4" t="n">
        <v>7</v>
      </c>
      <c r="B10" s="4" t="inlineStr">
        <is>
          <t>NS2612-M</t>
        </is>
      </c>
      <c r="C10" s="4" t="inlineStr">
        <is>
          <t>NS2611+NS2612</t>
        </is>
      </c>
      <c r="D10" s="5" t="inlineStr">
        <is>
          <t>扭捏niunie甜美清新花边口袋樱桃提花拼接圆领短袖衬衫花苞裤套装</t>
        </is>
      </c>
      <c r="E10" s="5" t="inlineStr">
        <is>
          <t>樱桃花苞裤</t>
        </is>
      </c>
      <c r="F10" s="4" t="inlineStr">
        <is>
          <t>M</t>
        </is>
      </c>
      <c r="G10" s="6" t="n">
        <v>329</v>
      </c>
      <c r="H10" s="21" t="n">
        <v>2</v>
      </c>
      <c r="I10" s="58" t="n">
        <v>3</v>
      </c>
      <c r="J10" s="64">
        <f>MAX(I10-H10,0)</f>
        <v/>
      </c>
      <c r="K10" s="65" t="inlineStr">
        <is>
          <t>https://img.alicdn.com/bao/uploaded/i2/2217590670593/O1CN01CHDMQM1GFdzZvCfJO~crop,0,240,1440,1440~_!!2217590670593.jpg</t>
        </is>
      </c>
      <c r="L10" s="66" t="n"/>
    </row>
    <row r="11" ht="17" customHeight="1">
      <c r="A11" s="8" t="n">
        <v>8</v>
      </c>
      <c r="B11" s="8" t="inlineStr">
        <is>
          <t>NS2611-S</t>
        </is>
      </c>
      <c r="C11" s="8" t="inlineStr">
        <is>
          <t>NS2611+NS2612</t>
        </is>
      </c>
      <c r="D11" s="9" t="inlineStr">
        <is>
          <t>扭捏niunie甜美清新花边口袋樱桃提花拼接圆领短袖衬衫花苞裤套装</t>
        </is>
      </c>
      <c r="E11" s="9" t="inlineStr">
        <is>
          <t>樱桃提花有口袋衬衫</t>
        </is>
      </c>
      <c r="F11" s="8" t="inlineStr">
        <is>
          <t>S</t>
        </is>
      </c>
      <c r="G11" s="10" t="n">
        <v>369</v>
      </c>
      <c r="H11" s="21" t="n">
        <v>11</v>
      </c>
      <c r="I11" s="58" t="n">
        <v>3</v>
      </c>
      <c r="J11" s="64">
        <f>MAX(I11-H11,0)</f>
        <v/>
      </c>
      <c r="K11" s="67" t="inlineStr">
        <is>
          <t>https://img.alicdn.com/bao/uploaded/i2/2217590670593/O1CN01xgSwHZ1GFdzaMGyRv~crop,0,240,1440,1440~_!!2217590670593.jpg</t>
        </is>
      </c>
      <c r="L11" s="66" t="n"/>
    </row>
    <row r="12" ht="17" customHeight="1">
      <c r="A12" s="4" t="n">
        <v>9</v>
      </c>
      <c r="B12" s="4" t="inlineStr">
        <is>
          <t>NS2612-S</t>
        </is>
      </c>
      <c r="C12" s="4" t="inlineStr">
        <is>
          <t>NS2611+NS2612</t>
        </is>
      </c>
      <c r="D12" s="5" t="inlineStr">
        <is>
          <t>扭捏niunie甜美清新花边口袋樱桃提花拼接圆领短袖衬衫花苞裤套装</t>
        </is>
      </c>
      <c r="E12" s="5" t="inlineStr">
        <is>
          <t>樱桃花苞裤</t>
        </is>
      </c>
      <c r="F12" s="4" t="inlineStr">
        <is>
          <t>S</t>
        </is>
      </c>
      <c r="G12" s="6" t="n">
        <v>329</v>
      </c>
      <c r="H12" s="21" t="n">
        <v>0</v>
      </c>
      <c r="I12" s="58" t="n">
        <v>3</v>
      </c>
      <c r="J12" s="64">
        <f>MAX(I12-H12,0)</f>
        <v/>
      </c>
      <c r="K12" s="65" t="inlineStr">
        <is>
          <t>https://img.alicdn.com/bao/uploaded/i2/2217590670593/O1CN01CHDMQM1GFdzZvCfJO~crop,0,240,1440,1440~_!!2217590670593.jpg</t>
        </is>
      </c>
      <c r="L12" s="66" t="n"/>
    </row>
    <row r="13" ht="17" customHeight="1">
      <c r="A13" s="8" t="n">
        <v>10</v>
      </c>
      <c r="B13" s="8" t="inlineStr">
        <is>
          <t>NS2610-M</t>
        </is>
      </c>
      <c r="C13" s="8" t="inlineStr">
        <is>
          <t>NS2610</t>
        </is>
      </c>
      <c r="D13" s="9" t="inlineStr">
        <is>
          <t>扭捏niunie  亚麻复古彩色格子荷叶边短裙抽褶拼接修身半身裙女</t>
        </is>
      </c>
      <c r="E13" s="9" t="inlineStr">
        <is>
          <t>彩色亚麻格子短裙</t>
        </is>
      </c>
      <c r="F13" s="8" t="inlineStr">
        <is>
          <t>M</t>
        </is>
      </c>
      <c r="G13" s="10" t="n">
        <v>529</v>
      </c>
      <c r="H13" s="21" t="n">
        <v>10</v>
      </c>
      <c r="I13" s="58" t="n">
        <v>3</v>
      </c>
      <c r="J13" s="64">
        <f>MAX(I13-H13,0)</f>
        <v/>
      </c>
      <c r="K13" s="67" t="inlineStr">
        <is>
          <t>https://img.alicdn.com/bao/uploaded/i3/2217590670593/O1CN01o0MRbu1GFdza9nw57~crop,0,240,1440,1440~_!!2217590670593.jpg</t>
        </is>
      </c>
      <c r="L13" s="66" t="n"/>
    </row>
    <row r="14" ht="17" customHeight="1">
      <c r="A14" s="4" t="n">
        <v>11</v>
      </c>
      <c r="B14" s="4" t="inlineStr">
        <is>
          <t>NS2610-S</t>
        </is>
      </c>
      <c r="C14" s="4" t="inlineStr">
        <is>
          <t>NS2610</t>
        </is>
      </c>
      <c r="D14" s="5" t="inlineStr">
        <is>
          <t>扭捏niunie  亚麻复古彩色格子荷叶边短裙抽褶拼接修身半身裙女</t>
        </is>
      </c>
      <c r="E14" s="5" t="inlineStr">
        <is>
          <t>彩色亚麻格子短裙</t>
        </is>
      </c>
      <c r="F14" s="4" t="inlineStr">
        <is>
          <t>S</t>
        </is>
      </c>
      <c r="G14" s="6" t="n">
        <v>529</v>
      </c>
      <c r="H14" s="21" t="n">
        <v>10</v>
      </c>
      <c r="I14" s="58" t="n">
        <v>3</v>
      </c>
      <c r="J14" s="64">
        <f>MAX(I14-H14,0)</f>
        <v/>
      </c>
      <c r="K14" s="65" t="inlineStr">
        <is>
          <t>https://img.alicdn.com/bao/uploaded/i3/2217590670593/O1CN01o0MRbu1GFdza9nw57~crop,0,240,1440,1440~_!!2217590670593.jpg</t>
        </is>
      </c>
      <c r="L14" s="66" t="n"/>
    </row>
    <row r="15" ht="17" customHeight="1">
      <c r="A15" s="8" t="n">
        <v>12</v>
      </c>
      <c r="B15" s="8" t="inlineStr">
        <is>
          <t>NS2609-M</t>
        </is>
      </c>
      <c r="C15" s="8" t="inlineStr">
        <is>
          <t>NS2609</t>
        </is>
      </c>
      <c r="D15" s="9" t="inlineStr">
        <is>
          <t>扭捏niunie 青苹果天使十字绣针织衫长袖圆领T恤甜美宽松上衣女</t>
        </is>
      </c>
      <c r="E15" s="9" t="inlineStr">
        <is>
          <t>青苹果天使针织长袖t</t>
        </is>
      </c>
      <c r="F15" s="8" t="inlineStr">
        <is>
          <t>M</t>
        </is>
      </c>
      <c r="G15" s="10" t="n">
        <v>199</v>
      </c>
      <c r="H15" s="21" t="n">
        <v>22</v>
      </c>
      <c r="I15" s="58" t="n">
        <v>3</v>
      </c>
      <c r="J15" s="64">
        <f>MAX(I15-H15,0)</f>
        <v/>
      </c>
      <c r="K15" s="67" t="inlineStr">
        <is>
          <t>https://img.alicdn.com/bao/uploaded/i4/2217590670593/O1CN01oHujxO1GFdzZY3erp~crop,0,240,1440,1440~_!!2217590670593.jpg</t>
        </is>
      </c>
      <c r="L15" s="66" t="n"/>
    </row>
    <row r="16" ht="17" customHeight="1">
      <c r="A16" s="4" t="n">
        <v>13</v>
      </c>
      <c r="B16" s="4" t="inlineStr">
        <is>
          <t>NS2609-S</t>
        </is>
      </c>
      <c r="C16" s="4" t="inlineStr">
        <is>
          <t>NS2609</t>
        </is>
      </c>
      <c r="D16" s="5" t="inlineStr">
        <is>
          <t>扭捏niunie 青苹果天使十字绣针织衫长袖圆领T恤甜美宽松上衣女</t>
        </is>
      </c>
      <c r="E16" s="5" t="inlineStr">
        <is>
          <t>青苹果天使针织长袖t</t>
        </is>
      </c>
      <c r="F16" s="4" t="inlineStr">
        <is>
          <t>S</t>
        </is>
      </c>
      <c r="G16" s="6" t="n">
        <v>199</v>
      </c>
      <c r="H16" s="21" t="n">
        <v>28</v>
      </c>
      <c r="I16" s="58" t="n">
        <v>3</v>
      </c>
      <c r="J16" s="64">
        <f>MAX(I16-H16,0)</f>
        <v/>
      </c>
      <c r="K16" s="65" t="inlineStr">
        <is>
          <t>https://img.alicdn.com/bao/uploaded/i4/2217590670593/O1CN01oHujxO1GFdzZY3erp~crop,0,240,1440,1440~_!!2217590670593.jpg</t>
        </is>
      </c>
      <c r="L16" s="66" t="n"/>
    </row>
    <row r="17" ht="17" customHeight="1">
      <c r="A17" s="8" t="n">
        <v>14</v>
      </c>
      <c r="B17" s="8" t="inlineStr">
        <is>
          <t>NS2607-M</t>
        </is>
      </c>
      <c r="C17" s="8" t="inlineStr">
        <is>
          <t>NS2608</t>
        </is>
      </c>
      <c r="D17" s="9" t="inlineStr">
        <is>
          <t>扭捏niunie 婴儿棉A类棉氨纶 娃娃领针织T恤短袖可爱俏皮减龄上衣</t>
        </is>
      </c>
      <c r="E17" s="9" t="inlineStr">
        <is>
          <t>小提花针织灰色开衫</t>
        </is>
      </c>
      <c r="F17" s="8" t="inlineStr">
        <is>
          <t>M</t>
        </is>
      </c>
      <c r="G17" s="10" t="n">
        <v>329</v>
      </c>
      <c r="H17" s="21" t="n">
        <v>17</v>
      </c>
      <c r="I17" s="58" t="n">
        <v>3</v>
      </c>
      <c r="J17" s="64">
        <f>MAX(I17-H17,0)</f>
        <v/>
      </c>
      <c r="K17" s="67" t="inlineStr">
        <is>
          <t>https://img.alicdn.com/bao/uploaded/i1/2217590670593/O1CN01Zq2rL21GFdzYTEnrj~crop,0,240,1440,1440~_!!2217590670593.jpg</t>
        </is>
      </c>
      <c r="L17" s="66" t="n"/>
    </row>
    <row r="18" ht="17" customHeight="1">
      <c r="A18" s="4" t="n">
        <v>15</v>
      </c>
      <c r="B18" s="4" t="inlineStr">
        <is>
          <t>NS2607-S</t>
        </is>
      </c>
      <c r="C18" s="4" t="inlineStr">
        <is>
          <t>NS2608</t>
        </is>
      </c>
      <c r="D18" s="5" t="inlineStr">
        <is>
          <t>扭捏niunie 婴儿棉A类棉氨纶 娃娃领针织T恤短袖可爱俏皮减龄上衣</t>
        </is>
      </c>
      <c r="E18" s="5" t="inlineStr">
        <is>
          <t>小提花针织灰色开衫</t>
        </is>
      </c>
      <c r="F18" s="4" t="inlineStr">
        <is>
          <t>S</t>
        </is>
      </c>
      <c r="G18" s="6" t="n">
        <v>329</v>
      </c>
      <c r="H18" s="21" t="n">
        <v>13</v>
      </c>
      <c r="I18" s="58" t="n">
        <v>3</v>
      </c>
      <c r="J18" s="64">
        <f>MAX(I18-H18,0)</f>
        <v/>
      </c>
      <c r="K18" s="65" t="inlineStr">
        <is>
          <t>https://img.alicdn.com/bao/uploaded/i1/2217590670593/O1CN01Zq2rL21GFdzYTEnrj~crop,0,240,1440,1440~_!!2217590670593.jpg</t>
        </is>
      </c>
      <c r="L18" s="66" t="n"/>
    </row>
    <row r="19" ht="17" customHeight="1">
      <c r="A19" s="8" t="n">
        <v>16</v>
      </c>
      <c r="B19" s="8" t="inlineStr">
        <is>
          <t>NS2607-魔法蓝-M</t>
        </is>
      </c>
      <c r="C19" s="8" t="inlineStr">
        <is>
          <t>NS2607</t>
        </is>
      </c>
      <c r="D19" s="9" t="inlineStr">
        <is>
          <t>扭捏niunie 蓝色树莓色格子气质显瘦包臀裙复古直筒中裙女春夏</t>
        </is>
      </c>
      <c r="E19" s="9" t="inlineStr">
        <is>
          <t>魔法蓝格子包臀裙</t>
        </is>
      </c>
      <c r="F19" s="8" t="inlineStr">
        <is>
          <t>M</t>
        </is>
      </c>
      <c r="G19" s="10" t="n">
        <v>419</v>
      </c>
      <c r="H19" s="21" t="n">
        <v>13</v>
      </c>
      <c r="I19" s="58" t="n">
        <v>3</v>
      </c>
      <c r="J19" s="64">
        <f>MAX(I19-H19,0)</f>
        <v/>
      </c>
      <c r="K19" s="67" t="inlineStr">
        <is>
          <t>https://img.alicdn.com/bao/uploaded/i2/2217590670593/O1CN01WXGH4F1GFdzZfAj0W~crop,0,240,1440,1440~_!!2217590670593.jpg</t>
        </is>
      </c>
      <c r="L19" s="66" t="n"/>
    </row>
    <row r="20" ht="17" customHeight="1">
      <c r="A20" s="4" t="n">
        <v>17</v>
      </c>
      <c r="B20" s="4" t="inlineStr">
        <is>
          <t>NS2607-树莓-M</t>
        </is>
      </c>
      <c r="C20" s="4" t="inlineStr">
        <is>
          <t>NS2607</t>
        </is>
      </c>
      <c r="D20" s="5" t="inlineStr">
        <is>
          <t>扭捏niunie 蓝色树莓色格子气质显瘦包臀裙复古直筒中裙女春夏</t>
        </is>
      </c>
      <c r="E20" s="5" t="inlineStr">
        <is>
          <t>树莓格子包臀裙</t>
        </is>
      </c>
      <c r="F20" s="4" t="inlineStr">
        <is>
          <t>M</t>
        </is>
      </c>
      <c r="G20" s="6" t="n">
        <v>419</v>
      </c>
      <c r="H20" s="21" t="n">
        <v>3</v>
      </c>
      <c r="I20" s="58" t="n">
        <v>3</v>
      </c>
      <c r="J20" s="64">
        <f>MAX(I20-H20,0)</f>
        <v/>
      </c>
      <c r="K20" s="65" t="inlineStr">
        <is>
          <t>https://img.alicdn.com/bao/uploaded/i3/2217590670593/O1CN01L1894W1GFdzY9x5hR~crop,0,272,1440,1440~_!!2217590670593.jpg</t>
        </is>
      </c>
      <c r="L20" s="66" t="n"/>
    </row>
    <row r="21" ht="17" customHeight="1">
      <c r="A21" s="8" t="n">
        <v>18</v>
      </c>
      <c r="B21" s="8" t="inlineStr">
        <is>
          <t>NS2607-魔法蓝-S</t>
        </is>
      </c>
      <c r="C21" s="8" t="inlineStr">
        <is>
          <t>NS2607</t>
        </is>
      </c>
      <c r="D21" s="9" t="inlineStr">
        <is>
          <t>扭捏niunie 蓝色树莓色格子气质显瘦包臀裙复古直筒中裙女春夏</t>
        </is>
      </c>
      <c r="E21" s="9" t="inlineStr">
        <is>
          <t>魔法蓝格子包臀裙</t>
        </is>
      </c>
      <c r="F21" s="8" t="inlineStr">
        <is>
          <t>S</t>
        </is>
      </c>
      <c r="G21" s="10" t="n">
        <v>419</v>
      </c>
      <c r="H21" s="21" t="n">
        <v>12</v>
      </c>
      <c r="I21" s="58" t="n">
        <v>3</v>
      </c>
      <c r="J21" s="64">
        <f>MAX(I21-H21,0)</f>
        <v/>
      </c>
      <c r="K21" s="67" t="inlineStr">
        <is>
          <t>https://img.alicdn.com/bao/uploaded/i2/2217590670593/O1CN01WXGH4F1GFdzZfAj0W~crop,0,240,1440,1440~_!!2217590670593.jpg</t>
        </is>
      </c>
      <c r="L21" s="66" t="n"/>
    </row>
    <row r="22" ht="17" customHeight="1">
      <c r="A22" s="4" t="n">
        <v>19</v>
      </c>
      <c r="B22" s="4" t="inlineStr">
        <is>
          <t>NS2607-树莓-S</t>
        </is>
      </c>
      <c r="C22" s="4" t="inlineStr">
        <is>
          <t>NS2607</t>
        </is>
      </c>
      <c r="D22" s="5" t="inlineStr">
        <is>
          <t>扭捏niunie 蓝色树莓色格子气质显瘦包臀裙复古直筒中裙女春夏</t>
        </is>
      </c>
      <c r="E22" s="5" t="inlineStr">
        <is>
          <t>树莓格子包臀裙</t>
        </is>
      </c>
      <c r="F22" s="4" t="inlineStr">
        <is>
          <t>S</t>
        </is>
      </c>
      <c r="G22" s="6" t="n">
        <v>419</v>
      </c>
      <c r="H22" s="21" t="n">
        <v>8</v>
      </c>
      <c r="I22" s="58" t="n">
        <v>3</v>
      </c>
      <c r="J22" s="64">
        <f>MAX(I22-H22,0)</f>
        <v/>
      </c>
      <c r="K22" s="65" t="inlineStr">
        <is>
          <t>https://img.alicdn.com/bao/uploaded/i3/2217590670593/O1CN01L1894W1GFdzY9x5hR~crop,0,272,1440,1440~_!!2217590670593.jpg</t>
        </is>
      </c>
      <c r="L22" s="66" t="n"/>
    </row>
    <row r="23" ht="17" customHeight="1">
      <c r="A23" s="8" t="n">
        <v>20</v>
      </c>
      <c r="B23" s="8" t="inlineStr">
        <is>
          <t>NS2606-M</t>
        </is>
      </c>
      <c r="C23" s="8" t="inlineStr">
        <is>
          <t>NS2606</t>
        </is>
      </c>
      <c r="D23" s="9" t="inlineStr">
        <is>
          <t>扭捏niunie 甜美蓝紫格纹松紧腰A字半身裙显瘦宽松撞色中长裙春夏</t>
        </is>
      </c>
      <c r="E23" s="9" t="inlineStr">
        <is>
          <t>蓝紫格半身裙</t>
        </is>
      </c>
      <c r="F23" s="8" t="inlineStr">
        <is>
          <t>M</t>
        </is>
      </c>
      <c r="G23" s="10" t="n">
        <v>309</v>
      </c>
      <c r="H23" s="21" t="n">
        <v>19</v>
      </c>
      <c r="I23" s="58" t="n">
        <v>3</v>
      </c>
      <c r="J23" s="64">
        <f>MAX(I23-H23,0)</f>
        <v/>
      </c>
      <c r="K23" s="67" t="inlineStr">
        <is>
          <t>https://img.alicdn.com/bao/uploaded/i3/2217590670593/O1CN016nYahe1GFdzT5lPPd~crop,0,240,1440,1440~_!!2217590670593.jpg</t>
        </is>
      </c>
      <c r="L23" s="66" t="n"/>
    </row>
    <row r="24" ht="17" customHeight="1">
      <c r="A24" s="4" t="n">
        <v>21</v>
      </c>
      <c r="B24" s="4" t="inlineStr">
        <is>
          <t>NS2606-S</t>
        </is>
      </c>
      <c r="C24" s="4" t="inlineStr">
        <is>
          <t>NS2606</t>
        </is>
      </c>
      <c r="D24" s="5" t="inlineStr">
        <is>
          <t>扭捏niunie 甜美蓝紫格纹松紧腰A字半身裙显瘦宽松撞色中长裙春夏</t>
        </is>
      </c>
      <c r="E24" s="5" t="inlineStr">
        <is>
          <t>蓝紫格半身裙</t>
        </is>
      </c>
      <c r="F24" s="4" t="inlineStr">
        <is>
          <t>S</t>
        </is>
      </c>
      <c r="G24" s="6" t="n">
        <v>309</v>
      </c>
      <c r="H24" s="21" t="n">
        <v>17</v>
      </c>
      <c r="I24" s="58" t="n">
        <v>3</v>
      </c>
      <c r="J24" s="64">
        <f>MAX(I24-H24,0)</f>
        <v/>
      </c>
      <c r="K24" s="65" t="inlineStr">
        <is>
          <t>https://img.alicdn.com/bao/uploaded/i3/2217590670593/O1CN016nYahe1GFdzT5lPPd~crop,0,240,1440,1440~_!!2217590670593.jpg</t>
        </is>
      </c>
      <c r="L24" s="66" t="n"/>
    </row>
    <row r="25" ht="17" customHeight="1">
      <c r="A25" s="8" t="n">
        <v>22</v>
      </c>
      <c r="B25" s="8" t="inlineStr">
        <is>
          <t>NS2605-M</t>
        </is>
      </c>
      <c r="C25" s="8" t="inlineStr">
        <is>
          <t>NS2605</t>
        </is>
      </c>
      <c r="D25" s="9" t="inlineStr">
        <is>
          <t>扭捏niunie 复古蓝色条纹圆领五分袖短袖T恤修身显瘦中袖百搭上衣</t>
        </is>
      </c>
      <c r="E25" s="9" t="inlineStr">
        <is>
          <t>蓝色条纹中袖T恤</t>
        </is>
      </c>
      <c r="F25" s="8" t="inlineStr">
        <is>
          <t>M</t>
        </is>
      </c>
      <c r="G25" s="10" t="n">
        <v>219</v>
      </c>
      <c r="H25" s="21" t="n">
        <v>12</v>
      </c>
      <c r="I25" s="58" t="n">
        <v>3</v>
      </c>
      <c r="J25" s="64">
        <f>MAX(I25-H25,0)</f>
        <v/>
      </c>
      <c r="K25" s="67" t="inlineStr">
        <is>
          <t>https://img.alicdn.com/bao/uploaded/i4/2217590670593/O1CN01h73obi1GFdzY9wUH1~crop,0,240,1440,1440~_!!2217590670593.jpg</t>
        </is>
      </c>
      <c r="L25" s="66" t="n"/>
    </row>
    <row r="26" ht="17" customHeight="1">
      <c r="A26" s="4" t="n">
        <v>23</v>
      </c>
      <c r="B26" s="4" t="inlineStr">
        <is>
          <t>NS2605-S</t>
        </is>
      </c>
      <c r="C26" s="4" t="inlineStr">
        <is>
          <t>NS2605</t>
        </is>
      </c>
      <c r="D26" s="5" t="inlineStr">
        <is>
          <t>扭捏niunie 复古蓝色条纹圆领五分袖短袖T恤修身显瘦中袖百搭上衣</t>
        </is>
      </c>
      <c r="E26" s="5" t="inlineStr">
        <is>
          <t>蓝色条纹中袖T恤</t>
        </is>
      </c>
      <c r="F26" s="4" t="inlineStr">
        <is>
          <t>S</t>
        </is>
      </c>
      <c r="G26" s="6" t="n">
        <v>219</v>
      </c>
      <c r="H26" s="21" t="n">
        <v>20</v>
      </c>
      <c r="I26" s="58" t="n">
        <v>3</v>
      </c>
      <c r="J26" s="64">
        <f>MAX(I26-H26,0)</f>
        <v/>
      </c>
      <c r="K26" s="65" t="inlineStr">
        <is>
          <t>https://img.alicdn.com/bao/uploaded/i4/2217590670593/O1CN01h73obi1GFdzY9wUH1~crop,0,240,1440,1440~_!!2217590670593.jpg</t>
        </is>
      </c>
      <c r="L26" s="66" t="n"/>
    </row>
    <row r="27" ht="17" customHeight="1">
      <c r="A27" s="8" t="n">
        <v>24</v>
      </c>
      <c r="B27" s="8" t="inlineStr">
        <is>
          <t>NS2603-M</t>
        </is>
      </c>
      <c r="C27" s="8" t="inlineStr">
        <is>
          <t>NS2603+NS2604</t>
        </is>
      </c>
      <c r="D27" s="9" t="inlineStr">
        <is>
          <t>扭捏niunie 复古重工提花拼接毛边蘑菇半身裙中长款宽松A字伞裙女</t>
        </is>
      </c>
      <c r="E27" s="9" t="inlineStr">
        <is>
          <t>黑白格蘑菇半身裙</t>
        </is>
      </c>
      <c r="F27" s="8" t="inlineStr">
        <is>
          <t>M</t>
        </is>
      </c>
      <c r="G27" s="10" t="n">
        <v>529</v>
      </c>
      <c r="H27" s="21" t="n">
        <v>23</v>
      </c>
      <c r="I27" s="58" t="n">
        <v>3</v>
      </c>
      <c r="J27" s="64">
        <f>MAX(I27-H27,0)</f>
        <v/>
      </c>
      <c r="K27" s="67" t="inlineStr">
        <is>
          <t>https://img.alicdn.com/bao/uploaded/i3/2217590670593/O1CN017tTbD11GFdza9VsTd_!!2217590670593.jpg</t>
        </is>
      </c>
      <c r="L27" s="66" t="n"/>
    </row>
    <row r="28" ht="17" customHeight="1">
      <c r="A28" s="4" t="n">
        <v>25</v>
      </c>
      <c r="B28" s="4" t="inlineStr">
        <is>
          <t>NS2604-M</t>
        </is>
      </c>
      <c r="C28" s="4" t="inlineStr">
        <is>
          <t>NS2603+NS2604</t>
        </is>
      </c>
      <c r="D28" s="5" t="inlineStr">
        <is>
          <t>扭捏niunie 复古重工提花拼接毛边蘑菇半身裙中长款宽松A字伞裙女</t>
        </is>
      </c>
      <c r="E28" s="5" t="inlineStr">
        <is>
          <t>粉色纯棉半身裙</t>
        </is>
      </c>
      <c r="F28" s="4" t="inlineStr">
        <is>
          <t>M</t>
        </is>
      </c>
      <c r="G28" s="6" t="n">
        <v>439</v>
      </c>
      <c r="H28" s="21" t="n">
        <v>0</v>
      </c>
      <c r="I28" s="58" t="n">
        <v>3</v>
      </c>
      <c r="J28" s="64">
        <f>MAX(I28-H28,0)</f>
        <v/>
      </c>
      <c r="K28" s="65" t="inlineStr">
        <is>
          <t>https://img.alicdn.com/bao/uploaded/i1/2217590670593/O1CN01UbZdB11GFdzY9yIY0_!!2217590670593.jpg</t>
        </is>
      </c>
      <c r="L28" s="66" t="n"/>
    </row>
    <row r="29" ht="17" customHeight="1">
      <c r="A29" s="8" t="n">
        <v>26</v>
      </c>
      <c r="B29" s="8" t="inlineStr">
        <is>
          <t>NS2603-S</t>
        </is>
      </c>
      <c r="C29" s="8" t="inlineStr">
        <is>
          <t>NS2603+NS2604</t>
        </is>
      </c>
      <c r="D29" s="9" t="inlineStr">
        <is>
          <t>扭捏niunie 复古重工提花拼接毛边蘑菇半身裙中长款宽松A字伞裙女</t>
        </is>
      </c>
      <c r="E29" s="9" t="inlineStr">
        <is>
          <t>黑白格蘑菇半身裙</t>
        </is>
      </c>
      <c r="F29" s="8" t="inlineStr">
        <is>
          <t>S</t>
        </is>
      </c>
      <c r="G29" s="10" t="n">
        <v>529</v>
      </c>
      <c r="H29" s="21" t="n">
        <v>23</v>
      </c>
      <c r="I29" s="58" t="n">
        <v>3</v>
      </c>
      <c r="J29" s="64">
        <f>MAX(I29-H29,0)</f>
        <v/>
      </c>
      <c r="K29" s="67" t="inlineStr">
        <is>
          <t>https://img.alicdn.com/bao/uploaded/i3/2217590670593/O1CN017tTbD11GFdza9VsTd_!!2217590670593.jpg</t>
        </is>
      </c>
      <c r="L29" s="66" t="n"/>
    </row>
    <row r="30" ht="17" customHeight="1">
      <c r="A30" s="4" t="n">
        <v>27</v>
      </c>
      <c r="B30" s="4" t="inlineStr">
        <is>
          <t>NS2604-S</t>
        </is>
      </c>
      <c r="C30" s="4" t="inlineStr">
        <is>
          <t>NS2603+NS2604</t>
        </is>
      </c>
      <c r="D30" s="5" t="inlineStr">
        <is>
          <t>扭捏niunie 复古重工提花拼接毛边蘑菇半身裙中长款宽松A字伞裙女</t>
        </is>
      </c>
      <c r="E30" s="5" t="inlineStr">
        <is>
          <t>粉色纯棉半身裙</t>
        </is>
      </c>
      <c r="F30" s="4" t="inlineStr">
        <is>
          <t>S</t>
        </is>
      </c>
      <c r="G30" s="6" t="n">
        <v>439</v>
      </c>
      <c r="H30" s="21" t="n">
        <v>0</v>
      </c>
      <c r="I30" s="58" t="n">
        <v>3</v>
      </c>
      <c r="J30" s="64">
        <f>MAX(I30-H30,0)</f>
        <v/>
      </c>
      <c r="K30" s="65" t="inlineStr">
        <is>
          <t>https://img.alicdn.com/bao/uploaded/i1/2217590670593/O1CN01UbZdB11GFdzY9yIY0_!!2217590670593.jpg</t>
        </is>
      </c>
      <c r="L30" s="66" t="n"/>
    </row>
    <row r="31" ht="17" customHeight="1">
      <c r="A31" s="8" t="n">
        <v>28</v>
      </c>
      <c r="B31" s="8" t="inlineStr">
        <is>
          <t>NS2601-M</t>
        </is>
      </c>
      <c r="C31" s="8" t="inlineStr">
        <is>
          <t>NS2601+NS2602</t>
        </is>
      </c>
      <c r="D31" s="9" t="inlineStr">
        <is>
          <t>扭捏niunie 原创复古手缝扣树莓色圆领短袖T恤条纹撞色打底上衣</t>
        </is>
      </c>
      <c r="E31" s="9" t="inlineStr">
        <is>
          <t>树莓色手缝扣T恤</t>
        </is>
      </c>
      <c r="F31" s="8" t="inlineStr">
        <is>
          <t>M</t>
        </is>
      </c>
      <c r="G31" s="10" t="n">
        <v>269</v>
      </c>
      <c r="H31" s="21" t="n">
        <v>14</v>
      </c>
      <c r="I31" s="58" t="n">
        <v>3</v>
      </c>
      <c r="J31" s="64">
        <f>MAX(I31-H31,0)</f>
        <v/>
      </c>
      <c r="K31" s="67" t="inlineStr">
        <is>
          <t>https://img.alicdn.com/bao/uploaded/i3/2217590670593/O1CN01FYMQjf1GFdzaHLzdh~crop,0,240,1440,1440~_!!2217590670593.jpg</t>
        </is>
      </c>
      <c r="L31" s="66" t="n"/>
    </row>
    <row r="32" ht="17" customHeight="1">
      <c r="A32" s="4" t="n">
        <v>29</v>
      </c>
      <c r="B32" s="4" t="inlineStr">
        <is>
          <t>NS2602-M</t>
        </is>
      </c>
      <c r="C32" s="4" t="inlineStr">
        <is>
          <t>NS2601+NS2602</t>
        </is>
      </c>
      <c r="D32" s="5" t="inlineStr">
        <is>
          <t>扭捏niunie 原创复古手缝扣树莓色圆领短袖T恤条纹撞色打底上衣</t>
        </is>
      </c>
      <c r="E32" s="5" t="inlineStr">
        <is>
          <t>红蓝条纹长袖T恤</t>
        </is>
      </c>
      <c r="F32" s="4" t="inlineStr">
        <is>
          <t>M</t>
        </is>
      </c>
      <c r="G32" s="6" t="n">
        <v>219</v>
      </c>
      <c r="H32" s="21" t="n">
        <v>0</v>
      </c>
      <c r="I32" s="58" t="n">
        <v>3</v>
      </c>
      <c r="J32" s="64">
        <f>MAX(I32-H32,0)</f>
        <v/>
      </c>
      <c r="K32" s="65" t="inlineStr">
        <is>
          <t>https://img.alicdn.com/bao/uploaded/i2/2217590670593/O1CN01DvvU2M1GFdza9VsSV~crop,0,240,1440,1440~_!!2217590670593.jpg</t>
        </is>
      </c>
      <c r="L32" s="66" t="n"/>
    </row>
    <row r="33" ht="17" customHeight="1">
      <c r="A33" s="8" t="n">
        <v>30</v>
      </c>
      <c r="B33" s="8" t="inlineStr">
        <is>
          <t>NS2601-S</t>
        </is>
      </c>
      <c r="C33" s="8" t="inlineStr">
        <is>
          <t>NS2601+NS2602</t>
        </is>
      </c>
      <c r="D33" s="9" t="inlineStr">
        <is>
          <t>扭捏niunie 原创复古手缝扣树莓色圆领短袖T恤条纹撞色打底上衣</t>
        </is>
      </c>
      <c r="E33" s="9" t="inlineStr">
        <is>
          <t>树莓色手缝扣T恤</t>
        </is>
      </c>
      <c r="F33" s="8" t="inlineStr">
        <is>
          <t>S</t>
        </is>
      </c>
      <c r="G33" s="10" t="n">
        <v>269</v>
      </c>
      <c r="H33" s="21" t="n">
        <v>24</v>
      </c>
      <c r="I33" s="58" t="n">
        <v>3</v>
      </c>
      <c r="J33" s="64">
        <f>MAX(I33-H33,0)</f>
        <v/>
      </c>
      <c r="K33" s="67" t="inlineStr">
        <is>
          <t>https://img.alicdn.com/bao/uploaded/i3/2217590670593/O1CN01FYMQjf1GFdzaHLzdh~crop,0,240,1440,1440~_!!2217590670593.jpg</t>
        </is>
      </c>
      <c r="L33" s="66" t="n"/>
    </row>
    <row r="34" ht="17" customHeight="1">
      <c r="A34" s="4" t="n">
        <v>31</v>
      </c>
      <c r="B34" s="4" t="inlineStr">
        <is>
          <t>NS2602-S</t>
        </is>
      </c>
      <c r="C34" s="4" t="inlineStr">
        <is>
          <t>NS2601+NS2602</t>
        </is>
      </c>
      <c r="D34" s="5" t="inlineStr">
        <is>
          <t>扭捏niunie 原创复古手缝扣树莓色圆领短袖T恤条纹撞色打底上衣</t>
        </is>
      </c>
      <c r="E34" s="5" t="inlineStr">
        <is>
          <t>红蓝条纹长袖T恤</t>
        </is>
      </c>
      <c r="F34" s="4" t="inlineStr">
        <is>
          <t>S</t>
        </is>
      </c>
      <c r="G34" s="6" t="n">
        <v>219</v>
      </c>
      <c r="H34" s="21" t="n">
        <v>0</v>
      </c>
      <c r="I34" s="58" t="n">
        <v>3</v>
      </c>
      <c r="J34" s="64">
        <f>MAX(I34-H34,0)</f>
        <v/>
      </c>
      <c r="K34" s="65" t="inlineStr">
        <is>
          <t>https://img.alicdn.com/bao/uploaded/i2/2217590670593/O1CN01DvvU2M1GFdza9VsSV~crop,0,240,1440,1440~_!!2217590670593.jpg</t>
        </is>
      </c>
      <c r="L34" s="66" t="n"/>
    </row>
    <row r="35" ht="17" customHeight="1">
      <c r="A35" s="8" t="n">
        <v>32</v>
      </c>
      <c r="B35" s="8" t="inlineStr">
        <is>
          <t>TNW-1015-L</t>
        </is>
      </c>
      <c r="C35" s="8" t="inlineStr">
        <is>
          <t>TNW-1038+1015</t>
        </is>
      </c>
      <c r="D35" s="9" t="inlineStr">
        <is>
          <t>扭捏niunie英国陶瓷扣碎花拼接设计100%羊毛呢外套半裙套装女秋冬</t>
        </is>
      </c>
      <c r="E35" s="9" t="inlineStr">
        <is>
          <t>灰彩色全羊毛半裙</t>
        </is>
      </c>
      <c r="F35" s="8" t="inlineStr">
        <is>
          <t>L</t>
        </is>
      </c>
      <c r="G35" s="10" t="n">
        <v>459</v>
      </c>
      <c r="H35" s="21" t="n">
        <v>2</v>
      </c>
      <c r="I35" s="58" t="n">
        <v>3</v>
      </c>
      <c r="J35" s="64">
        <f>MAX(I35-H35,0)</f>
        <v/>
      </c>
      <c r="K35" s="67" t="inlineStr">
        <is>
          <t>https://img.alicdn.com/bao/uploaded/i2/2217590670593/O1CN01HkMjGd1GFdxr0siAz_!!2217590670593.jpg</t>
        </is>
      </c>
      <c r="L35" s="66" t="n"/>
    </row>
    <row r="36" ht="17" customHeight="1">
      <c r="A36" s="4" t="n">
        <v>33</v>
      </c>
      <c r="B36" s="4" t="inlineStr">
        <is>
          <t>TNW-1038-L</t>
        </is>
      </c>
      <c r="C36" s="4" t="inlineStr">
        <is>
          <t>TNW-1038+1015</t>
        </is>
      </c>
      <c r="D36" s="5" t="inlineStr">
        <is>
          <t>扭捏niunie英国陶瓷扣碎花拼接设计100%羊毛呢外套半裙套装女秋冬</t>
        </is>
      </c>
      <c r="E36" s="5" t="inlineStr">
        <is>
          <t>灰彩色全羊毛外套</t>
        </is>
      </c>
      <c r="F36" s="4" t="inlineStr">
        <is>
          <t>L</t>
        </is>
      </c>
      <c r="G36" s="6" t="n">
        <v>799</v>
      </c>
      <c r="H36" s="21" t="n">
        <v>7</v>
      </c>
      <c r="I36" s="58" t="n">
        <v>3</v>
      </c>
      <c r="J36" s="64">
        <f>MAX(I36-H36,0)</f>
        <v/>
      </c>
      <c r="K36" s="65" t="inlineStr">
        <is>
          <t>https://img.alicdn.com/bao/uploaded/i3/2217590670593/O1CN015vimVE1GFdxqYS9dc_!!2217590670593.jpg</t>
        </is>
      </c>
      <c r="L36" s="66" t="n"/>
    </row>
    <row r="37" ht="17" customHeight="1">
      <c r="A37" s="8" t="n">
        <v>34</v>
      </c>
      <c r="B37" s="8" t="inlineStr">
        <is>
          <t>TNW-1066-棕格L</t>
        </is>
      </c>
      <c r="C37" s="8" t="inlineStr">
        <is>
          <t>TNW-1066</t>
        </is>
      </c>
      <c r="D37" s="9" t="inlineStr">
        <is>
          <t>扭捏niunie 复古磨毛加厚双色格子百褶半裙女秋冬拉链中腰短裙</t>
        </is>
      </c>
      <c r="E37" s="9" t="inlineStr">
        <is>
          <t>棕色大格子毛呢短裙</t>
        </is>
      </c>
      <c r="F37" s="8" t="inlineStr">
        <is>
          <t>L</t>
        </is>
      </c>
      <c r="G37" s="10" t="n">
        <v>319</v>
      </c>
      <c r="H37" s="21" t="n">
        <v>6</v>
      </c>
      <c r="I37" s="58" t="n">
        <v>3</v>
      </c>
      <c r="J37" s="64">
        <f>MAX(I37-H37,0)</f>
        <v/>
      </c>
      <c r="K37" s="67" t="inlineStr">
        <is>
          <t>https://img.alicdn.com/bao/uploaded/i4/2217590670593/O1CN01vkJdAW1GFdxnu1spI_!!2217590670593.jpg</t>
        </is>
      </c>
      <c r="L37" s="66" t="n"/>
    </row>
    <row r="38" ht="17" customHeight="1">
      <c r="A38" s="4" t="n">
        <v>35</v>
      </c>
      <c r="B38" s="4" t="inlineStr">
        <is>
          <t>TNW-1066-棕格M</t>
        </is>
      </c>
      <c r="C38" s="4" t="inlineStr">
        <is>
          <t>TNW-1066</t>
        </is>
      </c>
      <c r="D38" s="5" t="inlineStr">
        <is>
          <t>扭捏niunie 复古磨毛加厚双色格子百褶半裙女秋冬拉链中腰短裙</t>
        </is>
      </c>
      <c r="E38" s="5" t="inlineStr">
        <is>
          <t>棕色大格子毛呢短裙</t>
        </is>
      </c>
      <c r="F38" s="4" t="inlineStr">
        <is>
          <t>M</t>
        </is>
      </c>
      <c r="G38" s="6" t="n">
        <v>319</v>
      </c>
      <c r="H38" s="21" t="n">
        <v>5</v>
      </c>
      <c r="I38" s="58" t="n">
        <v>3</v>
      </c>
      <c r="J38" s="64">
        <f>MAX(I38-H38,0)</f>
        <v/>
      </c>
      <c r="K38" s="65" t="inlineStr">
        <is>
          <t>https://img.alicdn.com/bao/uploaded/i4/2217590670593/O1CN01vkJdAW1GFdxnu1spI_!!2217590670593.jpg</t>
        </is>
      </c>
      <c r="L38" s="66" t="n"/>
    </row>
    <row r="39" ht="17" customHeight="1">
      <c r="A39" s="8" t="n">
        <v>36</v>
      </c>
      <c r="B39" s="8" t="inlineStr">
        <is>
          <t>TNW-1066-棕格S</t>
        </is>
      </c>
      <c r="C39" s="8" t="inlineStr">
        <is>
          <t>TNW-1066</t>
        </is>
      </c>
      <c r="D39" s="9" t="inlineStr">
        <is>
          <t>扭捏niunie 复古磨毛加厚双色格子百褶半裙女秋冬拉链中腰短裙</t>
        </is>
      </c>
      <c r="E39" s="9" t="inlineStr">
        <is>
          <t>棕色大格子毛呢短裙</t>
        </is>
      </c>
      <c r="F39" s="8" t="inlineStr">
        <is>
          <t>S</t>
        </is>
      </c>
      <c r="G39" s="10" t="n">
        <v>319</v>
      </c>
      <c r="H39" s="21" t="n">
        <v>4</v>
      </c>
      <c r="I39" s="58" t="n">
        <v>3</v>
      </c>
      <c r="J39" s="64">
        <f>MAX(I39-H39,0)</f>
        <v/>
      </c>
      <c r="K39" s="67" t="inlineStr">
        <is>
          <t>https://img.alicdn.com/bao/uploaded/i4/2217590670593/O1CN01vkJdAW1GFdxnu1spI_!!2217590670593.jpg</t>
        </is>
      </c>
      <c r="L39" s="66" t="n"/>
    </row>
    <row r="40" ht="17" customHeight="1">
      <c r="A40" s="4" t="n">
        <v>37</v>
      </c>
      <c r="B40" s="4" t="inlineStr">
        <is>
          <t>TNW-1066-灰格L</t>
        </is>
      </c>
      <c r="C40" s="4" t="inlineStr">
        <is>
          <t>TNW-1066</t>
        </is>
      </c>
      <c r="D40" s="5" t="inlineStr">
        <is>
          <t>扭捏niunie 复古磨毛加厚双色格子百褶半裙女秋冬拉链中腰短裙</t>
        </is>
      </c>
      <c r="E40" s="5" t="inlineStr">
        <is>
          <t>灰咖格毛呢短裙</t>
        </is>
      </c>
      <c r="F40" s="4" t="inlineStr">
        <is>
          <t>L</t>
        </is>
      </c>
      <c r="G40" s="6" t="n">
        <v>319</v>
      </c>
      <c r="H40" s="21" t="n">
        <v>1</v>
      </c>
      <c r="I40" s="58" t="n">
        <v>3</v>
      </c>
      <c r="J40" s="64">
        <f>MAX(I40-H40,0)</f>
        <v/>
      </c>
      <c r="K40" s="65" t="inlineStr">
        <is>
          <t>https://img.alicdn.com/bao/uploaded/i2/2217590670593/O1CN0156NeXW1GFdxtsQrA6_!!2217590670593.jpg</t>
        </is>
      </c>
      <c r="L40" s="66" t="n"/>
    </row>
    <row r="41" ht="17" customHeight="1">
      <c r="A41" s="8" t="n">
        <v>38</v>
      </c>
      <c r="B41" s="8" t="inlineStr">
        <is>
          <t>TNW-1066-灰格M</t>
        </is>
      </c>
      <c r="C41" s="8" t="inlineStr">
        <is>
          <t>TNW-1066</t>
        </is>
      </c>
      <c r="D41" s="9" t="inlineStr">
        <is>
          <t>扭捏niunie 复古磨毛加厚双色格子百褶半裙女秋冬拉链中腰短裙</t>
        </is>
      </c>
      <c r="E41" s="9" t="inlineStr">
        <is>
          <t>灰咖格毛呢短裙</t>
        </is>
      </c>
      <c r="F41" s="8" t="inlineStr">
        <is>
          <t>M</t>
        </is>
      </c>
      <c r="G41" s="10" t="n">
        <v>319</v>
      </c>
      <c r="H41" s="21" t="n">
        <v>1</v>
      </c>
      <c r="I41" s="58" t="n">
        <v>3</v>
      </c>
      <c r="J41" s="64">
        <f>MAX(I41-H41,0)</f>
        <v/>
      </c>
      <c r="K41" s="67" t="inlineStr">
        <is>
          <t>https://img.alicdn.com/bao/uploaded/i2/2217590670593/O1CN0156NeXW1GFdxtsQrA6_!!2217590670593.jpg</t>
        </is>
      </c>
      <c r="L41" s="66" t="n"/>
    </row>
    <row r="42" ht="17" customHeight="1">
      <c r="A42" s="4" t="n">
        <v>39</v>
      </c>
      <c r="B42" s="4" t="inlineStr">
        <is>
          <t>TNW-1066-灰格S</t>
        </is>
      </c>
      <c r="C42" s="4" t="inlineStr">
        <is>
          <t>TNW-1066</t>
        </is>
      </c>
      <c r="D42" s="5" t="inlineStr">
        <is>
          <t>扭捏niunie 复古磨毛加厚双色格子百褶半裙女秋冬拉链中腰短裙</t>
        </is>
      </c>
      <c r="E42" s="5" t="inlineStr">
        <is>
          <t>灰咖格毛呢短裙</t>
        </is>
      </c>
      <c r="F42" s="4" t="inlineStr">
        <is>
          <t>S</t>
        </is>
      </c>
      <c r="G42" s="6" t="n">
        <v>319</v>
      </c>
      <c r="H42" s="21" t="n">
        <v>0</v>
      </c>
      <c r="I42" s="58" t="n">
        <v>3</v>
      </c>
      <c r="J42" s="64">
        <f>MAX(I42-H42,0)</f>
        <v/>
      </c>
      <c r="K42" s="65" t="inlineStr">
        <is>
          <t>https://img.alicdn.com/bao/uploaded/i2/2217590670593/O1CN0156NeXW1GFdxtsQrA6_!!2217590670593.jpg</t>
        </is>
      </c>
      <c r="L42" s="66" t="n"/>
    </row>
    <row r="43" ht="17" customHeight="1">
      <c r="A43" s="8" t="n">
        <v>40</v>
      </c>
      <c r="B43" s="8" t="inlineStr">
        <is>
          <t>TNW-1026-灰紫M</t>
        </is>
      </c>
      <c r="C43" s="8" t="inlineStr">
        <is>
          <t>988287960500</t>
        </is>
      </c>
      <c r="D43" s="9" t="inlineStr">
        <is>
          <t>扭捏niunie 原创灯芯绒拼接风衣90白鹅绒服宽松双色羽绒服女冬季</t>
        </is>
      </c>
      <c r="E43" s="9" t="inlineStr">
        <is>
          <t>灰紫色90白鹅绒服</t>
        </is>
      </c>
      <c r="F43" s="8" t="inlineStr">
        <is>
          <t>M</t>
        </is>
      </c>
      <c r="G43" s="10" t="n">
        <v>1599</v>
      </c>
      <c r="H43" s="21" t="n">
        <v>15</v>
      </c>
      <c r="I43" s="58" t="n">
        <v>3</v>
      </c>
      <c r="J43" s="64">
        <f>MAX(I43-H43,0)</f>
        <v/>
      </c>
      <c r="K43" s="67" t="inlineStr">
        <is>
          <t>https://img.alicdn.com/bao/uploaded/i2/2217590670593/O1CN01X0OYkB1GFdxtQI9X2_!!2217590670593.jpg</t>
        </is>
      </c>
      <c r="L43" s="66" t="n"/>
    </row>
    <row r="44" ht="17" customHeight="1">
      <c r="A44" s="4" t="n">
        <v>41</v>
      </c>
      <c r="B44" s="4" t="inlineStr">
        <is>
          <t>TNW-1026-灰紫S</t>
        </is>
      </c>
      <c r="C44" s="4" t="inlineStr">
        <is>
          <t>988287960500</t>
        </is>
      </c>
      <c r="D44" s="5" t="inlineStr">
        <is>
          <t>扭捏niunie 原创灯芯绒拼接风衣90白鹅绒服宽松双色羽绒服女冬季</t>
        </is>
      </c>
      <c r="E44" s="5" t="inlineStr">
        <is>
          <t>灰紫色90白鹅绒服</t>
        </is>
      </c>
      <c r="F44" s="4" t="inlineStr">
        <is>
          <t>S</t>
        </is>
      </c>
      <c r="G44" s="6" t="n">
        <v>1599</v>
      </c>
      <c r="H44" s="21" t="n">
        <v>18</v>
      </c>
      <c r="I44" s="58" t="n">
        <v>3</v>
      </c>
      <c r="J44" s="64">
        <f>MAX(I44-H44,0)</f>
        <v/>
      </c>
      <c r="K44" s="65" t="inlineStr">
        <is>
          <t>https://img.alicdn.com/bao/uploaded/i2/2217590670593/O1CN01X0OYkB1GFdxtQI9X2_!!2217590670593.jpg</t>
        </is>
      </c>
      <c r="L44" s="66" t="n"/>
    </row>
    <row r="45" ht="17" customHeight="1">
      <c r="A45" s="8" t="n">
        <v>42</v>
      </c>
      <c r="B45" s="8" t="inlineStr">
        <is>
          <t>TNW-1022-蓝M</t>
        </is>
      </c>
      <c r="C45" s="8" t="inlineStr">
        <is>
          <t>TNW-1022</t>
        </is>
      </c>
      <c r="D45" s="9" t="inlineStr">
        <is>
          <t>扭捏niunie 原创碎花蓝色紫色双面穿 90白鹅绒羽绒服女面包服冬季</t>
        </is>
      </c>
      <c r="E45" s="9" t="inlineStr">
        <is>
          <t>淡紫色碎花鹅绒服</t>
        </is>
      </c>
      <c r="F45" s="8" t="inlineStr">
        <is>
          <t>M</t>
        </is>
      </c>
      <c r="G45" s="10" t="n">
        <v>1699</v>
      </c>
      <c r="H45" s="21" t="n">
        <v>0</v>
      </c>
      <c r="I45" s="58" t="n">
        <v>3</v>
      </c>
      <c r="J45" s="64">
        <f>MAX(I45-H45,0)</f>
        <v/>
      </c>
      <c r="K45" s="67" t="inlineStr">
        <is>
          <t>https://img.alicdn.com/bao/uploaded/i2/2217590670593/O1CN01LEwkCd1GFdxuLUYPe_!!2217590670593.jpg</t>
        </is>
      </c>
      <c r="L45" s="66" t="n"/>
    </row>
    <row r="46" ht="17" customHeight="1">
      <c r="A46" s="4" t="n">
        <v>43</v>
      </c>
      <c r="B46" s="4" t="inlineStr">
        <is>
          <t>TNW-1022-蓝S</t>
        </is>
      </c>
      <c r="C46" s="4" t="inlineStr">
        <is>
          <t>TNW-1022</t>
        </is>
      </c>
      <c r="D46" s="5" t="inlineStr">
        <is>
          <t>扭捏niunie 原创碎花蓝色紫色双面穿 90白鹅绒羽绒服女面包服冬季</t>
        </is>
      </c>
      <c r="E46" s="5" t="inlineStr">
        <is>
          <t>淡紫色碎花鹅绒服</t>
        </is>
      </c>
      <c r="F46" s="4" t="inlineStr">
        <is>
          <t>S</t>
        </is>
      </c>
      <c r="G46" s="6" t="n">
        <v>1699</v>
      </c>
      <c r="H46" s="21" t="n">
        <v>0</v>
      </c>
      <c r="I46" s="58" t="n">
        <v>3</v>
      </c>
      <c r="J46" s="64">
        <f>MAX(I46-H46,0)</f>
        <v/>
      </c>
      <c r="K46" s="65" t="inlineStr">
        <is>
          <t>https://img.alicdn.com/bao/uploaded/i2/2217590670593/O1CN01LEwkCd1GFdxuLUYPe_!!2217590670593.jpg</t>
        </is>
      </c>
      <c r="L46" s="66" t="n"/>
    </row>
    <row r="47" ht="17" customHeight="1">
      <c r="A47" s="8" t="n">
        <v>44</v>
      </c>
      <c r="B47" s="8" t="inlineStr">
        <is>
          <t>TNW-1022-紫M</t>
        </is>
      </c>
      <c r="C47" s="8" t="inlineStr">
        <is>
          <t>TNW-1022</t>
        </is>
      </c>
      <c r="D47" s="9" t="inlineStr">
        <is>
          <t>扭捏niunie 原创碎花蓝色紫色双面穿 90白鹅绒羽绒服女面包服冬季</t>
        </is>
      </c>
      <c r="E47" s="9" t="inlineStr">
        <is>
          <t>浅蓝色碎花鹅绒服</t>
        </is>
      </c>
      <c r="F47" s="8" t="inlineStr">
        <is>
          <t>M</t>
        </is>
      </c>
      <c r="G47" s="10" t="n">
        <v>1699</v>
      </c>
      <c r="H47" s="21" t="n">
        <v>0</v>
      </c>
      <c r="I47" s="58" t="n">
        <v>3</v>
      </c>
      <c r="J47" s="64">
        <f>MAX(I47-H47,0)</f>
        <v/>
      </c>
      <c r="K47" s="67" t="inlineStr">
        <is>
          <t>https://img.alicdn.com/bao/uploaded/i4/2217590670593/O1CN01UQDPoQ1GFdyf8q7gg_!!2217590670593.jpg</t>
        </is>
      </c>
      <c r="L47" s="66" t="n"/>
    </row>
    <row r="48" ht="17" customHeight="1">
      <c r="A48" s="4" t="n">
        <v>45</v>
      </c>
      <c r="B48" s="4" t="inlineStr">
        <is>
          <t>TNW-1022-紫S</t>
        </is>
      </c>
      <c r="C48" s="4" t="inlineStr">
        <is>
          <t>TNW-1022</t>
        </is>
      </c>
      <c r="D48" s="5" t="inlineStr">
        <is>
          <t>扭捏niunie 原创碎花蓝色紫色双面穿 90白鹅绒羽绒服女面包服冬季</t>
        </is>
      </c>
      <c r="E48" s="5" t="inlineStr">
        <is>
          <t>浅蓝色碎花鹅绒服</t>
        </is>
      </c>
      <c r="F48" s="4" t="inlineStr">
        <is>
          <t>S</t>
        </is>
      </c>
      <c r="G48" s="6" t="n">
        <v>1699</v>
      </c>
      <c r="H48" s="21" t="n">
        <v>0</v>
      </c>
      <c r="I48" s="58" t="n">
        <v>3</v>
      </c>
      <c r="J48" s="64">
        <f>MAX(I48-H48,0)</f>
        <v/>
      </c>
      <c r="K48" s="65" t="inlineStr">
        <is>
          <t>https://img.alicdn.com/bao/uploaded/i4/2217590670593/O1CN01UQDPoQ1GFdyf8q7gg_!!2217590670593.jpg</t>
        </is>
      </c>
      <c r="L48" s="66" t="n"/>
    </row>
    <row r="49" ht="17" customHeight="1">
      <c r="A49" s="8" t="n">
        <v>46</v>
      </c>
      <c r="B49" s="8" t="inlineStr">
        <is>
          <t>TNW-1026-栗M</t>
        </is>
      </c>
      <c r="C49" s="8" t="inlineStr">
        <is>
          <t>TNW-1026</t>
        </is>
      </c>
      <c r="D49" s="9" t="inlineStr">
        <is>
          <t>扭捏niunie原创设计可拆卸豹纹领栗子色90白鹅绒保暖羽绒服女冬季</t>
        </is>
      </c>
      <c r="E49" s="9" t="inlineStr">
        <is>
          <t>栗子色90白鹅绒服</t>
        </is>
      </c>
      <c r="F49" s="8" t="inlineStr">
        <is>
          <t>M</t>
        </is>
      </c>
      <c r="G49" s="10" t="n">
        <v>1599</v>
      </c>
      <c r="H49" s="21" t="n">
        <v>20</v>
      </c>
      <c r="I49" s="58" t="n">
        <v>3</v>
      </c>
      <c r="J49" s="64">
        <f>MAX(I49-H49,0)</f>
        <v/>
      </c>
      <c r="K49" s="67" t="inlineStr">
        <is>
          <t>https://img.alicdn.com/bao/uploaded/i3/2217590670593/O1CN01724Z3D1GFdxodGxy2_!!2217590670593.jpg</t>
        </is>
      </c>
      <c r="L49" s="66" t="n"/>
    </row>
    <row r="50" ht="17" customHeight="1">
      <c r="A50" s="4" t="n">
        <v>47</v>
      </c>
      <c r="B50" s="4" t="inlineStr">
        <is>
          <t>TNW-1026-栗S</t>
        </is>
      </c>
      <c r="C50" s="4" t="inlineStr">
        <is>
          <t>TNW-1026</t>
        </is>
      </c>
      <c r="D50" s="5" t="inlineStr">
        <is>
          <t>扭捏niunie原创设计可拆卸豹纹领栗子色90白鹅绒保暖羽绒服女冬季</t>
        </is>
      </c>
      <c r="E50" s="5" t="inlineStr">
        <is>
          <t>栗子色90白鹅绒服</t>
        </is>
      </c>
      <c r="F50" s="4" t="inlineStr">
        <is>
          <t>S</t>
        </is>
      </c>
      <c r="G50" s="6" t="n">
        <v>1599</v>
      </c>
      <c r="H50" s="21" t="n">
        <v>19</v>
      </c>
      <c r="I50" s="58" t="n">
        <v>3</v>
      </c>
      <c r="J50" s="64">
        <f>MAX(I50-H50,0)</f>
        <v/>
      </c>
      <c r="K50" s="65" t="inlineStr">
        <is>
          <t>https://img.alicdn.com/bao/uploaded/i3/2217590670593/O1CN01724Z3D1GFdxodGxy2_!!2217590670593.jpg</t>
        </is>
      </c>
      <c r="L50" s="66" t="n"/>
    </row>
    <row r="51" ht="17" customHeight="1">
      <c r="A51" s="8" t="n">
        <v>48</v>
      </c>
      <c r="B51" s="8" t="inlineStr">
        <is>
          <t>TNW-1015-M</t>
        </is>
      </c>
      <c r="C51" s="8" t="inlineStr">
        <is>
          <t>TNW-1038+1015</t>
        </is>
      </c>
      <c r="D51" s="9" t="inlineStr">
        <is>
          <t>扭捏niunie英国陶瓷扣碎花拼接设计100%羊毛呢外套半裙套装女秋冬</t>
        </is>
      </c>
      <c r="E51" s="9" t="inlineStr">
        <is>
          <t>灰彩色全羊毛半裙</t>
        </is>
      </c>
      <c r="F51" s="8" t="inlineStr">
        <is>
          <t>M</t>
        </is>
      </c>
      <c r="G51" s="10" t="n">
        <v>459</v>
      </c>
      <c r="H51" s="21" t="n">
        <v>6</v>
      </c>
      <c r="I51" s="58" t="n">
        <v>3</v>
      </c>
      <c r="J51" s="64">
        <f>MAX(I51-H51,0)</f>
        <v/>
      </c>
      <c r="K51" s="67" t="inlineStr">
        <is>
          <t>https://img.alicdn.com/bao/uploaded/i2/2217590670593/O1CN01HkMjGd1GFdxr0siAz_!!2217590670593.jpg</t>
        </is>
      </c>
      <c r="L51" s="66" t="n"/>
    </row>
    <row r="52" ht="17" customHeight="1">
      <c r="A52" s="4" t="n">
        <v>49</v>
      </c>
      <c r="B52" s="4" t="inlineStr">
        <is>
          <t>TNW-1038-M</t>
        </is>
      </c>
      <c r="C52" s="4" t="inlineStr">
        <is>
          <t>TNW-1038+1015</t>
        </is>
      </c>
      <c r="D52" s="5" t="inlineStr">
        <is>
          <t>扭捏niunie英国陶瓷扣碎花拼接设计100%羊毛呢外套半裙套装女秋冬</t>
        </is>
      </c>
      <c r="E52" s="5" t="inlineStr">
        <is>
          <t>灰彩色全羊毛外套</t>
        </is>
      </c>
      <c r="F52" s="4" t="inlineStr">
        <is>
          <t>M</t>
        </is>
      </c>
      <c r="G52" s="6" t="n">
        <v>799</v>
      </c>
      <c r="H52" s="21" t="n">
        <v>5</v>
      </c>
      <c r="I52" s="58" t="n">
        <v>3</v>
      </c>
      <c r="J52" s="64">
        <f>MAX(I52-H52,0)</f>
        <v/>
      </c>
      <c r="K52" s="65" t="inlineStr">
        <is>
          <t>https://img.alicdn.com/bao/uploaded/i3/2217590670593/O1CN015vimVE1GFdxqYS9dc_!!2217590670593.jpg</t>
        </is>
      </c>
      <c r="L52" s="66" t="n"/>
    </row>
    <row r="53" ht="17" customHeight="1">
      <c r="A53" s="8" t="n">
        <v>50</v>
      </c>
      <c r="B53" s="8" t="inlineStr">
        <is>
          <t>TNW-1015-S</t>
        </is>
      </c>
      <c r="C53" s="8" t="inlineStr">
        <is>
          <t>TNW-1038+1015</t>
        </is>
      </c>
      <c r="D53" s="9" t="inlineStr">
        <is>
          <t>扭捏niunie英国陶瓷扣碎花拼接设计100%羊毛呢外套半裙套装女秋冬</t>
        </is>
      </c>
      <c r="E53" s="9" t="inlineStr">
        <is>
          <t>灰彩色全羊毛半裙</t>
        </is>
      </c>
      <c r="F53" s="8" t="inlineStr">
        <is>
          <t>S</t>
        </is>
      </c>
      <c r="G53" s="10" t="n">
        <v>459</v>
      </c>
      <c r="H53" s="21" t="n">
        <v>1</v>
      </c>
      <c r="I53" s="58" t="n">
        <v>3</v>
      </c>
      <c r="J53" s="64">
        <f>MAX(I53-H53,0)</f>
        <v/>
      </c>
      <c r="K53" s="67" t="inlineStr">
        <is>
          <t>https://img.alicdn.com/bao/uploaded/i2/2217590670593/O1CN01HkMjGd1GFdxr0siAz_!!2217590670593.jpg</t>
        </is>
      </c>
      <c r="L53" s="66" t="n"/>
    </row>
    <row r="54" ht="17" customHeight="1">
      <c r="A54" s="4" t="n">
        <v>51</v>
      </c>
      <c r="B54" s="4" t="inlineStr">
        <is>
          <t>TNW-1038-S</t>
        </is>
      </c>
      <c r="C54" s="4" t="inlineStr">
        <is>
          <t>TNW-1038+1015</t>
        </is>
      </c>
      <c r="D54" s="5" t="inlineStr">
        <is>
          <t>扭捏niunie英国陶瓷扣碎花拼接设计100%羊毛呢外套半裙套装女秋冬</t>
        </is>
      </c>
      <c r="E54" s="5" t="inlineStr">
        <is>
          <t>灰彩色全羊毛外套</t>
        </is>
      </c>
      <c r="F54" s="4" t="inlineStr">
        <is>
          <t>S</t>
        </is>
      </c>
      <c r="G54" s="6" t="n">
        <v>799</v>
      </c>
      <c r="H54" s="21" t="n">
        <v>13</v>
      </c>
      <c r="I54" s="58" t="n">
        <v>3</v>
      </c>
      <c r="J54" s="64">
        <f>MAX(I54-H54,0)</f>
        <v/>
      </c>
      <c r="K54" s="65" t="inlineStr">
        <is>
          <t>https://img.alicdn.com/bao/uploaded/i3/2217590670593/O1CN015vimVE1GFdxqYS9dc_!!2217590670593.jpg</t>
        </is>
      </c>
      <c r="L54" s="66" t="n"/>
    </row>
    <row r="55" ht="17" customHeight="1">
      <c r="A55" s="8" t="n">
        <v>52</v>
      </c>
      <c r="B55" s="8" t="inlineStr">
        <is>
          <t>TNW-1065-灰M</t>
        </is>
      </c>
      <c r="C55" s="8" t="inlineStr">
        <is>
          <t>TNW-1065</t>
        </is>
      </c>
      <c r="D55" s="9" t="inlineStr">
        <is>
          <t>扭捏niunie 复古豹纹领拼接双色打底上衣修身显瘦保暖长袖T恤秋冬</t>
        </is>
      </c>
      <c r="E55" s="9" t="inlineStr">
        <is>
          <t>灰色豹纹拼接上衣</t>
        </is>
      </c>
      <c r="F55" s="8" t="inlineStr">
        <is>
          <t>M</t>
        </is>
      </c>
      <c r="G55" s="10" t="n">
        <v>319</v>
      </c>
      <c r="H55" s="21" t="n">
        <v>0</v>
      </c>
      <c r="I55" s="58" t="n">
        <v>3</v>
      </c>
      <c r="J55" s="64">
        <f>MAX(I55-H55,0)</f>
        <v/>
      </c>
      <c r="K55" s="67" t="inlineStr">
        <is>
          <t>https://img.alicdn.com/bao/uploaded/i4/2217590670593/O1CN01wJcGZl1GFdsW6QPHZ_!!2217590670593.jpg</t>
        </is>
      </c>
      <c r="L55" s="66" t="n"/>
    </row>
    <row r="56" ht="17" customHeight="1">
      <c r="A56" s="4" t="n">
        <v>53</v>
      </c>
      <c r="B56" s="4" t="inlineStr">
        <is>
          <t>TNW-1065-灰S</t>
        </is>
      </c>
      <c r="C56" s="4" t="inlineStr">
        <is>
          <t>TNW-1065</t>
        </is>
      </c>
      <c r="D56" s="5" t="inlineStr">
        <is>
          <t>扭捏niunie 复古豹纹领拼接双色打底上衣修身显瘦保暖长袖T恤秋冬</t>
        </is>
      </c>
      <c r="E56" s="5" t="inlineStr">
        <is>
          <t>灰色豹纹拼接上衣</t>
        </is>
      </c>
      <c r="F56" s="4" t="inlineStr">
        <is>
          <t>S</t>
        </is>
      </c>
      <c r="G56" s="6" t="n">
        <v>319</v>
      </c>
      <c r="H56" s="21" t="n">
        <v>0</v>
      </c>
      <c r="I56" s="58" t="n">
        <v>3</v>
      </c>
      <c r="J56" s="64">
        <f>MAX(I56-H56,0)</f>
        <v/>
      </c>
      <c r="K56" s="65" t="inlineStr">
        <is>
          <t>https://img.alicdn.com/bao/uploaded/i4/2217590670593/O1CN01wJcGZl1GFdsW6QPHZ_!!2217590670593.jpg</t>
        </is>
      </c>
      <c r="L56" s="66" t="n"/>
    </row>
    <row r="57" ht="17" customHeight="1">
      <c r="A57" s="8" t="n">
        <v>54</v>
      </c>
      <c r="B57" s="8" t="inlineStr">
        <is>
          <t>TNW-1065-棕M</t>
        </is>
      </c>
      <c r="C57" s="8" t="inlineStr">
        <is>
          <t>TNW-1065</t>
        </is>
      </c>
      <c r="D57" s="9" t="inlineStr">
        <is>
          <t>扭捏niunie 复古豹纹领拼接双色打底上衣修身显瘦保暖长袖T恤秋冬</t>
        </is>
      </c>
      <c r="E57" s="9" t="inlineStr">
        <is>
          <t>棕色豹纹拼接上衣</t>
        </is>
      </c>
      <c r="F57" s="8" t="inlineStr">
        <is>
          <t>M</t>
        </is>
      </c>
      <c r="G57" s="10" t="n">
        <v>319</v>
      </c>
      <c r="H57" s="21" t="n">
        <v>0</v>
      </c>
      <c r="I57" s="58" t="n">
        <v>3</v>
      </c>
      <c r="J57" s="64">
        <f>MAX(I57-H57,0)</f>
        <v/>
      </c>
      <c r="K57" s="67" t="inlineStr">
        <is>
          <t>https://img.alicdn.com/bao/uploaded/i4/2217590670593/O1CN01NruOcS1GFdxuGZa9y_!!2217590670593.jpg</t>
        </is>
      </c>
      <c r="L57" s="66" t="n"/>
    </row>
    <row r="58" ht="17" customHeight="1">
      <c r="A58" s="4" t="n">
        <v>55</v>
      </c>
      <c r="B58" s="4" t="inlineStr">
        <is>
          <t>TNW-1065-棕S</t>
        </is>
      </c>
      <c r="C58" s="4" t="inlineStr">
        <is>
          <t>TNW-1065</t>
        </is>
      </c>
      <c r="D58" s="5" t="inlineStr">
        <is>
          <t>扭捏niunie 复古豹纹领拼接双色打底上衣修身显瘦保暖长袖T恤秋冬</t>
        </is>
      </c>
      <c r="E58" s="5" t="inlineStr">
        <is>
          <t>棕色豹纹拼接上衣</t>
        </is>
      </c>
      <c r="F58" s="4" t="inlineStr">
        <is>
          <t>S</t>
        </is>
      </c>
      <c r="G58" s="6" t="n">
        <v>319</v>
      </c>
      <c r="H58" s="21" t="n">
        <v>0</v>
      </c>
      <c r="I58" s="58" t="n">
        <v>3</v>
      </c>
      <c r="J58" s="64">
        <f>MAX(I58-H58,0)</f>
        <v/>
      </c>
      <c r="K58" s="65" t="inlineStr">
        <is>
          <t>https://img.alicdn.com/bao/uploaded/i4/2217590670593/O1CN01NruOcS1GFdxuGZa9y_!!2217590670593.jpg</t>
        </is>
      </c>
      <c r="L58" s="66" t="n"/>
    </row>
    <row r="59" ht="17" customHeight="1">
      <c r="A59" s="8" t="n">
        <v>56</v>
      </c>
      <c r="B59" s="8" t="inlineStr">
        <is>
          <t>TNW-0902-M</t>
        </is>
      </c>
      <c r="C59" s="8" t="inlineStr">
        <is>
          <t>TNW-0928-0902</t>
        </is>
      </c>
      <c r="D59" s="9" t="inlineStr">
        <is>
          <t>扭捏niunie 100%全羊毛棕色毛呢外套碎花拼接双层半裙套装女秋冬</t>
        </is>
      </c>
      <c r="E59" s="9" t="inlineStr">
        <is>
          <t>碎花拼接毛呢短裙</t>
        </is>
      </c>
      <c r="F59" s="8" t="inlineStr">
        <is>
          <t>M</t>
        </is>
      </c>
      <c r="G59" s="10" t="n">
        <v>459</v>
      </c>
      <c r="H59" s="21" t="n">
        <v>1</v>
      </c>
      <c r="I59" s="58" t="n">
        <v>3</v>
      </c>
      <c r="J59" s="64">
        <f>MAX(I59-H59,0)</f>
        <v/>
      </c>
      <c r="K59" s="67" t="inlineStr">
        <is>
          <t>https://img.alicdn.com/bao/uploaded/i3/2217590670593/O1CN01XhsTNh1GFdxo6hI1k_!!2217590670593.jpg</t>
        </is>
      </c>
      <c r="L59" s="66" t="n"/>
    </row>
    <row r="60" ht="17" customHeight="1">
      <c r="A60" s="4" t="n">
        <v>57</v>
      </c>
      <c r="B60" s="4" t="inlineStr">
        <is>
          <t>TNW-0928-M</t>
        </is>
      </c>
      <c r="C60" s="4" t="inlineStr">
        <is>
          <t>TNW-0928-0902</t>
        </is>
      </c>
      <c r="D60" s="5" t="inlineStr">
        <is>
          <t>扭捏niunie 100%全羊毛棕色毛呢外套碎花拼接双层半裙套装女秋冬</t>
        </is>
      </c>
      <c r="E60" s="5" t="inlineStr">
        <is>
          <t>棕色全羊毛外套</t>
        </is>
      </c>
      <c r="F60" s="4" t="inlineStr">
        <is>
          <t>M</t>
        </is>
      </c>
      <c r="G60" s="6" t="n">
        <v>769</v>
      </c>
      <c r="H60" s="21" t="n">
        <v>1</v>
      </c>
      <c r="I60" s="58" t="n">
        <v>3</v>
      </c>
      <c r="J60" s="64">
        <f>MAX(I60-H60,0)</f>
        <v/>
      </c>
      <c r="K60" s="65" t="inlineStr">
        <is>
          <t>https://img.alicdn.com/bao/uploaded/i3/2217590670593/O1CN01i4vC8Q1GFdxpQ8ynz_!!2217590670593.jpg</t>
        </is>
      </c>
      <c r="L60" s="66" t="n"/>
    </row>
    <row r="61" ht="17" customHeight="1">
      <c r="A61" s="8" t="n">
        <v>58</v>
      </c>
      <c r="B61" s="8" t="inlineStr">
        <is>
          <t>TNW-0902-S</t>
        </is>
      </c>
      <c r="C61" s="8" t="inlineStr">
        <is>
          <t>TNW-0928-0902</t>
        </is>
      </c>
      <c r="D61" s="9" t="inlineStr">
        <is>
          <t>扭捏niunie 100%全羊毛棕色毛呢外套碎花拼接双层半裙套装女秋冬</t>
        </is>
      </c>
      <c r="E61" s="9" t="inlineStr">
        <is>
          <t>碎花拼接毛呢短裙</t>
        </is>
      </c>
      <c r="F61" s="8" t="inlineStr">
        <is>
          <t>S</t>
        </is>
      </c>
      <c r="G61" s="10" t="n">
        <v>459</v>
      </c>
      <c r="H61" s="21" t="n">
        <v>1</v>
      </c>
      <c r="I61" s="58" t="n">
        <v>3</v>
      </c>
      <c r="J61" s="64">
        <f>MAX(I61-H61,0)</f>
        <v/>
      </c>
      <c r="K61" s="67" t="inlineStr">
        <is>
          <t>https://img.alicdn.com/bao/uploaded/i3/2217590670593/O1CN01XhsTNh1GFdxo6hI1k_!!2217590670593.jpg</t>
        </is>
      </c>
      <c r="L61" s="66" t="n"/>
    </row>
    <row r="62" ht="17" customHeight="1">
      <c r="A62" s="4" t="n">
        <v>59</v>
      </c>
      <c r="B62" s="4" t="inlineStr">
        <is>
          <t>TNW-0928-S</t>
        </is>
      </c>
      <c r="C62" s="4" t="inlineStr">
        <is>
          <t>TNW-0928-0902</t>
        </is>
      </c>
      <c r="D62" s="5" t="inlineStr">
        <is>
          <t>扭捏niunie 100%全羊毛棕色毛呢外套碎花拼接双层半裙套装女秋冬</t>
        </is>
      </c>
      <c r="E62" s="5" t="inlineStr">
        <is>
          <t>棕色全羊毛外套</t>
        </is>
      </c>
      <c r="F62" s="4" t="inlineStr">
        <is>
          <t>S</t>
        </is>
      </c>
      <c r="G62" s="6" t="n">
        <v>769</v>
      </c>
      <c r="H62" s="21" t="n">
        <v>1</v>
      </c>
      <c r="I62" s="58" t="n">
        <v>3</v>
      </c>
      <c r="J62" s="64">
        <f>MAX(I62-H62,0)</f>
        <v/>
      </c>
      <c r="K62" s="65" t="inlineStr">
        <is>
          <t>https://img.alicdn.com/bao/uploaded/i3/2217590670593/O1CN01i4vC8Q1GFdxpQ8ynz_!!2217590670593.jpg</t>
        </is>
      </c>
      <c r="L62" s="66" t="n"/>
    </row>
    <row r="63" ht="17" customHeight="1">
      <c r="A63" s="8" t="n">
        <v>60</v>
      </c>
      <c r="B63" s="8" t="inlineStr">
        <is>
          <t>TNW-0907-M</t>
        </is>
      </c>
      <c r="C63" s="8" t="inlineStr">
        <is>
          <t>TNW-0907</t>
        </is>
      </c>
      <c r="D63" s="9" t="inlineStr">
        <is>
          <t>扭捏niunie原创紫色碎花双面穿毛巾布连帽拉链卫衣女宽松开衫外套</t>
        </is>
      </c>
      <c r="E63" s="9" t="inlineStr">
        <is>
          <t>紫色碎花双面穿卫衣</t>
        </is>
      </c>
      <c r="F63" s="8" t="inlineStr">
        <is>
          <t>M</t>
        </is>
      </c>
      <c r="G63" s="10" t="n">
        <v>549</v>
      </c>
      <c r="H63" s="21" t="n">
        <v>0</v>
      </c>
      <c r="I63" s="58" t="n">
        <v>3</v>
      </c>
      <c r="J63" s="64">
        <f>MAX(I63-H63,0)</f>
        <v/>
      </c>
      <c r="K63" s="67" t="inlineStr">
        <is>
          <t>https://img.alicdn.com/bao/uploaded/i2/2217590670593/O1CN01BCWHxV1GFdxpKku1t_!!2217590670593.jpg</t>
        </is>
      </c>
      <c r="L63" s="66" t="n"/>
    </row>
    <row r="64" ht="17" customHeight="1">
      <c r="A64" s="4" t="n">
        <v>61</v>
      </c>
      <c r="B64" s="4" t="inlineStr">
        <is>
          <t>TNW-0907-S</t>
        </is>
      </c>
      <c r="C64" s="4" t="inlineStr">
        <is>
          <t>TNW-0907</t>
        </is>
      </c>
      <c r="D64" s="5" t="inlineStr">
        <is>
          <t>扭捏niunie原创紫色碎花双面穿毛巾布连帽拉链卫衣女宽松开衫外套</t>
        </is>
      </c>
      <c r="E64" s="5" t="inlineStr">
        <is>
          <t>紫色碎花双面穿卫衣</t>
        </is>
      </c>
      <c r="F64" s="4" t="inlineStr">
        <is>
          <t>S</t>
        </is>
      </c>
      <c r="G64" s="6" t="n">
        <v>549</v>
      </c>
      <c r="H64" s="21" t="n">
        <v>0</v>
      </c>
      <c r="I64" s="58" t="n">
        <v>3</v>
      </c>
      <c r="J64" s="64">
        <f>MAX(I64-H64,0)</f>
        <v/>
      </c>
      <c r="K64" s="65" t="inlineStr">
        <is>
          <t>https://img.alicdn.com/bao/uploaded/i2/2217590670593/O1CN01BCWHxV1GFdxpKku1t_!!2217590670593.jpg</t>
        </is>
      </c>
      <c r="L64" s="66" t="n"/>
    </row>
    <row r="65" ht="17" customHeight="1">
      <c r="A65" s="8" t="n">
        <v>62</v>
      </c>
      <c r="B65" s="8" t="inlineStr">
        <is>
          <t>TNW-1025-M</t>
        </is>
      </c>
      <c r="C65" s="8" t="inlineStr">
        <is>
          <t>TNW-1025</t>
        </is>
      </c>
      <c r="D65" s="9" t="inlineStr">
        <is>
          <t>扭捏niunie原创设计 复古条纹直筒休闲裤宽松显瘦阔腿裤长裤女</t>
        </is>
      </c>
      <c r="E65" s="9" t="inlineStr">
        <is>
          <t>条纹休闲裤</t>
        </is>
      </c>
      <c r="F65" s="8" t="inlineStr">
        <is>
          <t>M</t>
        </is>
      </c>
      <c r="G65" s="10" t="n">
        <v>369</v>
      </c>
      <c r="H65" s="21" t="n">
        <v>7</v>
      </c>
      <c r="I65" s="58" t="n">
        <v>3</v>
      </c>
      <c r="J65" s="64">
        <f>MAX(I65-H65,0)</f>
        <v/>
      </c>
      <c r="K65" s="67" t="inlineStr">
        <is>
          <t>https://img.alicdn.com/bao/uploaded/i3/2217590670593/O1CN01GHGMes1GFdyL84IxU_!!2217590670593.jpg</t>
        </is>
      </c>
      <c r="L65" s="66" t="n"/>
    </row>
    <row r="66" ht="17" customHeight="1">
      <c r="A66" s="4" t="n">
        <v>63</v>
      </c>
      <c r="B66" s="4" t="inlineStr">
        <is>
          <t>TNW-1025-S</t>
        </is>
      </c>
      <c r="C66" s="4" t="inlineStr">
        <is>
          <t>TNW-1025</t>
        </is>
      </c>
      <c r="D66" s="5" t="inlineStr">
        <is>
          <t>扭捏niunie原创设计 复古条纹直筒休闲裤宽松显瘦阔腿裤长裤女</t>
        </is>
      </c>
      <c r="E66" s="5" t="inlineStr">
        <is>
          <t>条纹休闲裤</t>
        </is>
      </c>
      <c r="F66" s="4" t="inlineStr">
        <is>
          <t>S</t>
        </is>
      </c>
      <c r="G66" s="6" t="n">
        <v>369</v>
      </c>
      <c r="H66" s="21" t="n">
        <v>7</v>
      </c>
      <c r="I66" s="58" t="n">
        <v>3</v>
      </c>
      <c r="J66" s="64">
        <f>MAX(I66-H66,0)</f>
        <v/>
      </c>
      <c r="K66" s="65" t="inlineStr">
        <is>
          <t>https://img.alicdn.com/bao/uploaded/i3/2217590670593/O1CN01GHGMes1GFdyL84IxU_!!2217590670593.jpg</t>
        </is>
      </c>
      <c r="L66" s="66" t="n"/>
    </row>
    <row r="67" ht="17" customHeight="1">
      <c r="A67" s="8" t="n">
        <v>64</v>
      </c>
      <c r="B67" s="8" t="inlineStr">
        <is>
          <t>NN-2523-M</t>
        </is>
      </c>
      <c r="C67" s="8" t="inlineStr">
        <is>
          <t>NN-2523</t>
        </is>
      </c>
      <c r="D67" s="9" t="inlineStr">
        <is>
          <t>扭捏niunie原创设计丝绒格子碎花拼接半身裙宽松中腰A字中长裙</t>
        </is>
      </c>
      <c r="E67" s="9" t="inlineStr">
        <is>
          <t>紫色丝绒拼接半裙</t>
        </is>
      </c>
      <c r="F67" s="8" t="inlineStr">
        <is>
          <t>M</t>
        </is>
      </c>
      <c r="G67" s="10" t="n">
        <v>399</v>
      </c>
      <c r="H67" s="21" t="n">
        <v>19</v>
      </c>
      <c r="I67" s="58" t="n">
        <v>3</v>
      </c>
      <c r="J67" s="64">
        <f>MAX(I67-H67,0)</f>
        <v/>
      </c>
      <c r="K67" s="67" t="inlineStr">
        <is>
          <t>https://img.alicdn.com/bao/uploaded/i3/2217590670593/O1CN01Womm751GFdyKz1kKk_!!2217590670593.jpg</t>
        </is>
      </c>
      <c r="L67" s="66" t="n"/>
    </row>
    <row r="68" ht="17" customHeight="1">
      <c r="A68" s="4" t="n">
        <v>65</v>
      </c>
      <c r="B68" s="4" t="inlineStr">
        <is>
          <t>NN-2523-S</t>
        </is>
      </c>
      <c r="C68" s="4" t="inlineStr">
        <is>
          <t>NN-2523</t>
        </is>
      </c>
      <c r="D68" s="5" t="inlineStr">
        <is>
          <t>扭捏niunie原创设计丝绒格子碎花拼接半身裙宽松中腰A字中长裙</t>
        </is>
      </c>
      <c r="E68" s="5" t="inlineStr">
        <is>
          <t>紫色丝绒拼接半裙</t>
        </is>
      </c>
      <c r="F68" s="4" t="inlineStr">
        <is>
          <t>S</t>
        </is>
      </c>
      <c r="G68" s="6" t="n">
        <v>399</v>
      </c>
      <c r="H68" s="21" t="n">
        <v>17</v>
      </c>
      <c r="I68" s="58" t="n">
        <v>3</v>
      </c>
      <c r="J68" s="64">
        <f>MAX(I68-H68,0)</f>
        <v/>
      </c>
      <c r="K68" s="65" t="inlineStr">
        <is>
          <t>https://img.alicdn.com/bao/uploaded/i3/2217590670593/O1CN01Womm751GFdyKz1kKk_!!2217590670593.jpg</t>
        </is>
      </c>
      <c r="L68" s="66" t="n"/>
    </row>
    <row r="69" ht="17" customHeight="1">
      <c r="A69" s="8" t="n">
        <v>66</v>
      </c>
      <c r="B69" s="8" t="inlineStr">
        <is>
          <t>NN2551-棕M</t>
        </is>
      </c>
      <c r="C69" s="8" t="inlineStr">
        <is>
          <t>NN2551-棕</t>
        </is>
      </c>
      <c r="D69" s="9" t="inlineStr">
        <is>
          <t>扭捏niunie原创设计{爱读书的小猫}浅棕色圆领套头百搭针织毛衣女</t>
        </is>
      </c>
      <c r="E69" s="9" t="inlineStr">
        <is>
          <t>浅棕色小猫毛衣</t>
        </is>
      </c>
      <c r="F69" s="8" t="inlineStr">
        <is>
          <t>M</t>
        </is>
      </c>
      <c r="G69" s="10" t="n">
        <v>369</v>
      </c>
      <c r="H69" s="21" t="n">
        <v>13</v>
      </c>
      <c r="I69" s="58" t="n">
        <v>3</v>
      </c>
      <c r="J69" s="64">
        <f>MAX(I69-H69,0)</f>
        <v/>
      </c>
      <c r="K69" s="67" t="inlineStr">
        <is>
          <t>https://img.alicdn.com/bao/uploaded/i2/2217590670593/O1CN01SEVO7y1GFdxQhadvN_!!2217590670593.jpg</t>
        </is>
      </c>
      <c r="L69" s="66" t="n"/>
    </row>
    <row r="70" ht="17" customHeight="1">
      <c r="A70" s="4" t="n">
        <v>67</v>
      </c>
      <c r="B70" s="4" t="inlineStr">
        <is>
          <t>NN2551-棕S</t>
        </is>
      </c>
      <c r="C70" s="4" t="inlineStr">
        <is>
          <t>NN2551-棕</t>
        </is>
      </c>
      <c r="D70" s="5" t="inlineStr">
        <is>
          <t>扭捏niunie原创设计{爱读书的小猫}浅棕色圆领套头百搭针织毛衣女</t>
        </is>
      </c>
      <c r="E70" s="5" t="inlineStr">
        <is>
          <t>浅棕色小猫毛衣</t>
        </is>
      </c>
      <c r="F70" s="4" t="inlineStr">
        <is>
          <t>S</t>
        </is>
      </c>
      <c r="G70" s="6" t="n">
        <v>369</v>
      </c>
      <c r="H70" s="21" t="n">
        <v>6</v>
      </c>
      <c r="I70" s="58" t="n">
        <v>3</v>
      </c>
      <c r="J70" s="64">
        <f>MAX(I70-H70,0)</f>
        <v/>
      </c>
      <c r="K70" s="65" t="inlineStr">
        <is>
          <t>https://img.alicdn.com/bao/uploaded/i2/2217590670593/O1CN01SEVO7y1GFdxQhadvN_!!2217590670593.jpg</t>
        </is>
      </c>
      <c r="L70" s="66" t="n"/>
    </row>
    <row r="71" ht="17" customHeight="1">
      <c r="A71" s="8" t="n">
        <v>68</v>
      </c>
      <c r="B71" s="8" t="inlineStr">
        <is>
          <t>TN-1067-绿M</t>
        </is>
      </c>
      <c r="C71" s="8" t="inlineStr">
        <is>
          <t>TN-1067</t>
        </is>
      </c>
      <c r="D71" s="9" t="inlineStr">
        <is>
          <t>扭捏niunie原创设计复古叠穿苔藓绿羊羔毛马甲背心休闲百搭上衣女</t>
        </is>
      </c>
      <c r="E71" s="9" t="inlineStr">
        <is>
          <t>苔藓绿羊羔毛马甲</t>
        </is>
      </c>
      <c r="F71" s="8" t="inlineStr">
        <is>
          <t>M</t>
        </is>
      </c>
      <c r="G71" s="10" t="n">
        <v>469</v>
      </c>
      <c r="H71" s="21" t="n">
        <v>8</v>
      </c>
      <c r="I71" s="58" t="n">
        <v>3</v>
      </c>
      <c r="J71" s="64">
        <f>MAX(I71-H71,0)</f>
        <v/>
      </c>
      <c r="K71" s="67" t="inlineStr">
        <is>
          <t>https://img.alicdn.com/bao/uploaded/i3/2217590670593/O1CN01Y2FkAx1GFdyLoBGdT_!!2217590670593.jpg</t>
        </is>
      </c>
      <c r="L71" s="66" t="n"/>
    </row>
    <row r="72" ht="17" customHeight="1">
      <c r="A72" s="4" t="n">
        <v>69</v>
      </c>
      <c r="B72" s="4" t="inlineStr">
        <is>
          <t>TN-1067-绿S</t>
        </is>
      </c>
      <c r="C72" s="4" t="inlineStr">
        <is>
          <t>TN-1067</t>
        </is>
      </c>
      <c r="D72" s="5" t="inlineStr">
        <is>
          <t>扭捏niunie原创设计复古叠穿苔藓绿羊羔毛马甲背心休闲百搭上衣女</t>
        </is>
      </c>
      <c r="E72" s="5" t="inlineStr">
        <is>
          <t>苔藓绿羊羔毛马甲</t>
        </is>
      </c>
      <c r="F72" s="4" t="inlineStr">
        <is>
          <t>S</t>
        </is>
      </c>
      <c r="G72" s="6" t="n">
        <v>469</v>
      </c>
      <c r="H72" s="21" t="n">
        <v>9</v>
      </c>
      <c r="I72" s="58" t="n">
        <v>3</v>
      </c>
      <c r="J72" s="64">
        <f>MAX(I72-H72,0)</f>
        <v/>
      </c>
      <c r="K72" s="65" t="inlineStr">
        <is>
          <t>https://img.alicdn.com/bao/uploaded/i3/2217590670593/O1CN01Y2FkAx1GFdyLoBGdT_!!2217590670593.jpg</t>
        </is>
      </c>
      <c r="L72" s="66" t="n"/>
    </row>
    <row r="73" ht="17" customHeight="1">
      <c r="A73" s="8" t="n">
        <v>70</v>
      </c>
      <c r="B73" s="8" t="inlineStr">
        <is>
          <t>NN2551-蓝M</t>
        </is>
      </c>
      <c r="C73" s="8" t="inlineStr">
        <is>
          <t>NN2551-蓝</t>
        </is>
      </c>
      <c r="D73" s="9" t="inlineStr">
        <is>
          <t>扭捏niunie原创设计{爱读书的小猫}蓝色圆领套头百搭针织毛衣女</t>
        </is>
      </c>
      <c r="E73" s="9" t="inlineStr">
        <is>
          <t>蓝色小猫毛衣</t>
        </is>
      </c>
      <c r="F73" s="8" t="inlineStr">
        <is>
          <t>M</t>
        </is>
      </c>
      <c r="G73" s="10" t="n">
        <v>369</v>
      </c>
      <c r="H73" s="21" t="n">
        <v>10</v>
      </c>
      <c r="I73" s="58" t="n">
        <v>3</v>
      </c>
      <c r="J73" s="64">
        <f>MAX(I73-H73,0)</f>
        <v/>
      </c>
      <c r="K73" s="67" t="inlineStr">
        <is>
          <t>https://img.alicdn.com/bao/uploaded/i4/2217590670593/O1CN01iGs4Ko1GFdxS4uOcR_!!2217590670593.jpg</t>
        </is>
      </c>
      <c r="L73" s="66" t="n"/>
    </row>
    <row r="74" ht="17" customHeight="1">
      <c r="A74" s="4" t="n">
        <v>71</v>
      </c>
      <c r="B74" s="4" t="inlineStr">
        <is>
          <t>NN2551-蓝S</t>
        </is>
      </c>
      <c r="C74" s="4" t="inlineStr">
        <is>
          <t>NN2551-蓝</t>
        </is>
      </c>
      <c r="D74" s="5" t="inlineStr">
        <is>
          <t>扭捏niunie原创设计{爱读书的小猫}蓝色圆领套头百搭针织毛衣女</t>
        </is>
      </c>
      <c r="E74" s="5" t="inlineStr">
        <is>
          <t>蓝色小猫毛衣</t>
        </is>
      </c>
      <c r="F74" s="4" t="inlineStr">
        <is>
          <t>S</t>
        </is>
      </c>
      <c r="G74" s="6" t="n">
        <v>369</v>
      </c>
      <c r="H74" s="21" t="n">
        <v>11</v>
      </c>
      <c r="I74" s="58" t="n">
        <v>3</v>
      </c>
      <c r="J74" s="64">
        <f>MAX(I74-H74,0)</f>
        <v/>
      </c>
      <c r="K74" s="65" t="inlineStr">
        <is>
          <t>https://img.alicdn.com/bao/uploaded/i4/2217590670593/O1CN01iGs4Ko1GFdxS4uOcR_!!2217590670593.jpg</t>
        </is>
      </c>
      <c r="L74" s="66" t="n"/>
    </row>
    <row r="75" ht="17" customHeight="1">
      <c r="A75" s="8" t="n">
        <v>72</v>
      </c>
      <c r="B75" s="8" t="inlineStr">
        <is>
          <t>TN-1067-紫M</t>
        </is>
      </c>
      <c r="C75" s="8" t="inlineStr">
        <is>
          <t>TN-1067</t>
        </is>
      </c>
      <c r="D75" s="9" t="inlineStr">
        <is>
          <t>扭捏niunie原创设计复古叠搭彩色格子紫色羊羔毛马甲休闲百搭上衣</t>
        </is>
      </c>
      <c r="E75" s="9" t="inlineStr">
        <is>
          <t>紫色羊羔毛马甲</t>
        </is>
      </c>
      <c r="F75" s="8" t="inlineStr">
        <is>
          <t>M</t>
        </is>
      </c>
      <c r="G75" s="10" t="n">
        <v>469</v>
      </c>
      <c r="H75" s="21" t="n">
        <v>21</v>
      </c>
      <c r="I75" s="58" t="n">
        <v>3</v>
      </c>
      <c r="J75" s="64">
        <f>MAX(I75-H75,0)</f>
        <v/>
      </c>
      <c r="K75" s="67" t="inlineStr">
        <is>
          <t>https://img.alicdn.com/bao/uploaded/i4/2217590670593/O1CN01rjhVF31GFdyKzBcj6_!!2217590670593.jpg</t>
        </is>
      </c>
      <c r="L75" s="66" t="n"/>
    </row>
    <row r="76" ht="17" customHeight="1">
      <c r="A76" s="4" t="n">
        <v>73</v>
      </c>
      <c r="B76" s="4" t="inlineStr">
        <is>
          <t>TN-1067-紫S</t>
        </is>
      </c>
      <c r="C76" s="4" t="inlineStr">
        <is>
          <t>TN-1067</t>
        </is>
      </c>
      <c r="D76" s="5" t="inlineStr">
        <is>
          <t>扭捏niunie原创设计复古叠搭彩色格子紫色羊羔毛马甲休闲百搭上衣</t>
        </is>
      </c>
      <c r="E76" s="5" t="inlineStr">
        <is>
          <t>紫色羊羔毛马甲</t>
        </is>
      </c>
      <c r="F76" s="4" t="inlineStr">
        <is>
          <t>S</t>
        </is>
      </c>
      <c r="G76" s="6" t="n">
        <v>469</v>
      </c>
      <c r="H76" s="21" t="n">
        <v>26</v>
      </c>
      <c r="I76" s="58" t="n">
        <v>3</v>
      </c>
      <c r="J76" s="64">
        <f>MAX(I76-H76,0)</f>
        <v/>
      </c>
      <c r="K76" s="65" t="inlineStr">
        <is>
          <t>https://img.alicdn.com/bao/uploaded/i4/2217590670593/O1CN01rjhVF31GFdyKzBcj6_!!2217590670593.jpg</t>
        </is>
      </c>
      <c r="L76" s="66" t="n"/>
    </row>
    <row r="77" ht="17" customHeight="1">
      <c r="A77" s="8" t="n">
        <v>74</v>
      </c>
      <c r="B77" s="8" t="inlineStr">
        <is>
          <t>NN2534-L</t>
        </is>
      </c>
      <c r="C77" s="8" t="inlineStr">
        <is>
          <t>NN2534</t>
        </is>
      </c>
      <c r="D77" s="9" t="inlineStr">
        <is>
          <t>扭捏niunie 文艺复古棕色系格子大口袋半身裙中腰显瘦全棉中长裙</t>
        </is>
      </c>
      <c r="E77" s="9" t="inlineStr">
        <is>
          <t>棕色系拼色格子半裙</t>
        </is>
      </c>
      <c r="F77" s="8" t="inlineStr">
        <is>
          <t>L</t>
        </is>
      </c>
      <c r="G77" s="10" t="n">
        <v>369</v>
      </c>
      <c r="H77" s="21" t="n">
        <v>3</v>
      </c>
      <c r="I77" s="58" t="n">
        <v>3</v>
      </c>
      <c r="J77" s="64">
        <f>MAX(I77-H77,0)</f>
        <v/>
      </c>
      <c r="K77" s="67" t="inlineStr">
        <is>
          <t>https://img.alicdn.com/bao/uploaded/i3/2217590670593/O1CN012vmpOo1GFdwwmyweb_!!2217590670593.jpg</t>
        </is>
      </c>
      <c r="L77" s="66" t="n"/>
    </row>
    <row r="78" ht="17" customHeight="1">
      <c r="A78" s="4" t="n">
        <v>75</v>
      </c>
      <c r="B78" s="4" t="inlineStr">
        <is>
          <t>NN2533-L</t>
        </is>
      </c>
      <c r="C78" s="4" t="inlineStr">
        <is>
          <t>NN2533</t>
        </is>
      </c>
      <c r="D78" s="5" t="inlineStr">
        <is>
          <t>【秋天的童话】原创巴恩风剪花小格子重工半身裙复古中长裙女秋款</t>
        </is>
      </c>
      <c r="E78" s="5" t="inlineStr">
        <is>
          <t>彩色剪花小格子半身裙</t>
        </is>
      </c>
      <c r="F78" s="4" t="inlineStr">
        <is>
          <t>L</t>
        </is>
      </c>
      <c r="G78" s="6" t="n">
        <v>429</v>
      </c>
      <c r="H78" s="21" t="n">
        <v>15</v>
      </c>
      <c r="I78" s="58" t="n">
        <v>3</v>
      </c>
      <c r="J78" s="64">
        <f>MAX(I78-H78,0)</f>
        <v/>
      </c>
      <c r="K78" s="65" t="inlineStr">
        <is>
          <t>https://img.alicdn.com/bao/uploaded/i4/2217590670593/O1CN01g52yMQ1GFdx0brzbm_!!2217590670593.jpg</t>
        </is>
      </c>
      <c r="L78" s="66" t="n"/>
    </row>
    <row r="79" ht="17" customHeight="1">
      <c r="A79" s="8" t="n">
        <v>76</v>
      </c>
      <c r="B79" s="8" t="inlineStr"/>
      <c r="C79" s="8" t="inlineStr">
        <is>
          <t>NN2530</t>
        </is>
      </c>
      <c r="D79" s="9" t="inlineStr">
        <is>
          <t>扭捏niunie 小浣熊松鼠趣味提花蓝色长袖衬衫宽松全棉纽扣上衣女</t>
        </is>
      </c>
      <c r="E79" s="9" t="inlineStr">
        <is>
          <t>定制面料 需要等待</t>
        </is>
      </c>
      <c r="F79" s="8" t="inlineStr">
        <is>
          <t>M</t>
        </is>
      </c>
      <c r="G79" s="10" t="n">
        <v>339</v>
      </c>
      <c r="H79" s="21" t="n">
        <v>4</v>
      </c>
      <c r="I79" s="58" t="n">
        <v>3</v>
      </c>
      <c r="J79" s="64">
        <f>MAX(I79-H79,0)</f>
        <v/>
      </c>
      <c r="K79" s="67" t="inlineStr">
        <is>
          <t>https://img.alicdn.com/bao/uploaded/i3/2217590670593/O1CN01RZwv0i1GFdxBBivtA_!!2217590670593.jpg</t>
        </is>
      </c>
      <c r="L79" s="66" t="n"/>
    </row>
    <row r="80" ht="17" customHeight="1">
      <c r="A80" s="4" t="n">
        <v>77</v>
      </c>
      <c r="B80" s="4" t="inlineStr"/>
      <c r="C80" s="4" t="inlineStr">
        <is>
          <t>NN2530</t>
        </is>
      </c>
      <c r="D80" s="5" t="inlineStr">
        <is>
          <t>扭捏niunie 小浣熊松鼠趣味提花蓝色长袖衬衫宽松全棉纽扣上衣女</t>
        </is>
      </c>
      <c r="E80" s="5" t="inlineStr">
        <is>
          <t>定制面料 需要等待</t>
        </is>
      </c>
      <c r="F80" s="4" t="inlineStr">
        <is>
          <t>S</t>
        </is>
      </c>
      <c r="G80" s="6" t="n">
        <v>339</v>
      </c>
      <c r="H80" s="21" t="n">
        <v>8</v>
      </c>
      <c r="I80" s="58" t="n">
        <v>3</v>
      </c>
      <c r="J80" s="64">
        <f>MAX(I80-H80,0)</f>
        <v/>
      </c>
      <c r="K80" s="65" t="inlineStr">
        <is>
          <t>https://img.alicdn.com/bao/uploaded/i3/2217590670593/O1CN01RZwv0i1GFdxBBivtA_!!2217590670593.jpg</t>
        </is>
      </c>
      <c r="L80" s="66" t="n"/>
    </row>
    <row r="81" ht="17" customHeight="1">
      <c r="A81" s="8" t="n">
        <v>78</v>
      </c>
      <c r="B81" s="8" t="inlineStr"/>
      <c r="C81" s="8" t="inlineStr">
        <is>
          <t>NN2536</t>
        </is>
      </c>
      <c r="D81" s="9" t="inlineStr">
        <is>
          <t>扭捏niunie 多巴胺提花蓝色慵懒风休闲长裤宽松显瘦百搭直筒裤女</t>
        </is>
      </c>
      <c r="E81" s="9" t="inlineStr">
        <is>
          <t>定制面料 需要等待</t>
        </is>
      </c>
      <c r="F81" s="8" t="inlineStr">
        <is>
          <t>M</t>
        </is>
      </c>
      <c r="G81" s="10" t="n">
        <v>319</v>
      </c>
      <c r="H81" s="21" t="n">
        <v>1</v>
      </c>
      <c r="I81" s="58" t="n">
        <v>3</v>
      </c>
      <c r="J81" s="64">
        <f>MAX(I81-H81,0)</f>
        <v/>
      </c>
      <c r="K81" s="67" t="inlineStr">
        <is>
          <t>https://img.alicdn.com/bao/uploaded/i3/2217590670593/O1CN01RZwv0i1GFdxBBivtA_!!2217590670593.jpg</t>
        </is>
      </c>
      <c r="L81" s="66" t="n"/>
    </row>
    <row r="82" ht="17" customHeight="1">
      <c r="A82" s="4" t="n">
        <v>79</v>
      </c>
      <c r="B82" s="4" t="inlineStr"/>
      <c r="C82" s="4" t="inlineStr">
        <is>
          <t>NN2536</t>
        </is>
      </c>
      <c r="D82" s="5" t="inlineStr">
        <is>
          <t>扭捏niunie 多巴胺提花蓝色慵懒风休闲长裤宽松显瘦百搭直筒裤女</t>
        </is>
      </c>
      <c r="E82" s="5" t="inlineStr">
        <is>
          <t>定制面料 需要等待</t>
        </is>
      </c>
      <c r="F82" s="4" t="inlineStr">
        <is>
          <t>S</t>
        </is>
      </c>
      <c r="G82" s="6" t="n">
        <v>319</v>
      </c>
      <c r="H82" s="21" t="n">
        <v>0</v>
      </c>
      <c r="I82" s="58" t="n">
        <v>3</v>
      </c>
      <c r="J82" s="64">
        <f>MAX(I82-H82,0)</f>
        <v/>
      </c>
      <c r="K82" s="65" t="inlineStr">
        <is>
          <t>https://img.alicdn.com/bao/uploaded/i3/2217590670593/O1CN01RZwv0i1GFdxBBivtA_!!2217590670593.jpg</t>
        </is>
      </c>
      <c r="L82" s="66" t="n"/>
    </row>
    <row r="83" ht="17" customHeight="1">
      <c r="A83" s="8" t="n">
        <v>80</v>
      </c>
      <c r="B83" s="8" t="inlineStr">
        <is>
          <t>TNW-0702-褐L</t>
        </is>
      </c>
      <c r="C83" s="8" t="inlineStr">
        <is>
          <t>TNW-0702</t>
        </is>
      </c>
      <c r="D83" s="9" t="inlineStr">
        <is>
          <t>扭捏niunie 乐谱印花复古长袖T恤进口美利奴羊毛天丝修身内搭上衣</t>
        </is>
      </c>
      <c r="E83" s="9" t="inlineStr">
        <is>
          <t>茶褐色天丝羊毛长袖t</t>
        </is>
      </c>
      <c r="F83" s="8" t="inlineStr">
        <is>
          <t>L</t>
        </is>
      </c>
      <c r="G83" s="10" t="n">
        <v>299</v>
      </c>
      <c r="H83" s="21" t="n">
        <v>2</v>
      </c>
      <c r="I83" s="58" t="n">
        <v>3</v>
      </c>
      <c r="J83" s="64">
        <f>MAX(I83-H83,0)</f>
        <v/>
      </c>
      <c r="K83" s="67" t="inlineStr">
        <is>
          <t>https://img.alicdn.com/bao/uploaded/i4/2217590670593/O1CN01yjUReo1GFdx1hYVgl_!!2217590670593.jpg</t>
        </is>
      </c>
      <c r="L83" s="66" t="n"/>
    </row>
    <row r="84" ht="17" customHeight="1">
      <c r="A84" s="4" t="n">
        <v>81</v>
      </c>
      <c r="B84" s="4" t="inlineStr">
        <is>
          <t>TNW-0702-绿L</t>
        </is>
      </c>
      <c r="C84" s="4" t="inlineStr">
        <is>
          <t>TNW-0702</t>
        </is>
      </c>
      <c r="D84" s="5" t="inlineStr">
        <is>
          <t>扭捏niunie 乐谱印花复古长袖T恤进口美利奴羊毛天丝修身内搭上衣</t>
        </is>
      </c>
      <c r="E84" s="5" t="inlineStr">
        <is>
          <t>草绿色天丝羊毛长袖t</t>
        </is>
      </c>
      <c r="F84" s="4" t="inlineStr">
        <is>
          <t>L</t>
        </is>
      </c>
      <c r="G84" s="6" t="n">
        <v>299</v>
      </c>
      <c r="H84" s="21" t="n">
        <v>5</v>
      </c>
      <c r="I84" s="58" t="n">
        <v>3</v>
      </c>
      <c r="J84" s="64">
        <f>MAX(I84-H84,0)</f>
        <v/>
      </c>
      <c r="K84" s="65" t="inlineStr">
        <is>
          <t>https://img.alicdn.com/bao/uploaded/i1/2217590670593/O1CN019qHJlo1GFdx12brW4_!!2217590670593.jpg</t>
        </is>
      </c>
      <c r="L84" s="66" t="n"/>
    </row>
    <row r="85" ht="17" customHeight="1">
      <c r="A85" s="8" t="n">
        <v>82</v>
      </c>
      <c r="B85" s="8" t="inlineStr">
        <is>
          <t>TNW-0702-褐M</t>
        </is>
      </c>
      <c r="C85" s="8" t="inlineStr">
        <is>
          <t>TNW-0702</t>
        </is>
      </c>
      <c r="D85" s="9" t="inlineStr">
        <is>
          <t>扭捏niunie 乐谱印花复古长袖T恤进口美利奴羊毛天丝修身内搭上衣</t>
        </is>
      </c>
      <c r="E85" s="9" t="inlineStr">
        <is>
          <t>茶褐色天丝羊毛长袖t</t>
        </is>
      </c>
      <c r="F85" s="8" t="inlineStr">
        <is>
          <t>M</t>
        </is>
      </c>
      <c r="G85" s="10" t="n">
        <v>299</v>
      </c>
      <c r="H85" s="21" t="n">
        <v>3</v>
      </c>
      <c r="I85" s="58" t="n">
        <v>3</v>
      </c>
      <c r="J85" s="64">
        <f>MAX(I85-H85,0)</f>
        <v/>
      </c>
      <c r="K85" s="67" t="inlineStr">
        <is>
          <t>https://img.alicdn.com/bao/uploaded/i4/2217590670593/O1CN01yjUReo1GFdx1hYVgl_!!2217590670593.jpg</t>
        </is>
      </c>
      <c r="L85" s="66" t="n"/>
    </row>
    <row r="86" ht="17" customHeight="1">
      <c r="A86" s="4" t="n">
        <v>83</v>
      </c>
      <c r="B86" s="4" t="inlineStr">
        <is>
          <t>TNW-0702-绿M</t>
        </is>
      </c>
      <c r="C86" s="4" t="inlineStr">
        <is>
          <t>TNW-0702</t>
        </is>
      </c>
      <c r="D86" s="5" t="inlineStr">
        <is>
          <t>扭捏niunie 乐谱印花复古长袖T恤进口美利奴羊毛天丝修身内搭上衣</t>
        </is>
      </c>
      <c r="E86" s="5" t="inlineStr">
        <is>
          <t>草绿色天丝羊毛长袖t</t>
        </is>
      </c>
      <c r="F86" s="4" t="inlineStr">
        <is>
          <t>M</t>
        </is>
      </c>
      <c r="G86" s="6" t="n">
        <v>299</v>
      </c>
      <c r="H86" s="21" t="n">
        <v>7</v>
      </c>
      <c r="I86" s="58" t="n">
        <v>3</v>
      </c>
      <c r="J86" s="64">
        <f>MAX(I86-H86,0)</f>
        <v/>
      </c>
      <c r="K86" s="65" t="inlineStr">
        <is>
          <t>https://img.alicdn.com/bao/uploaded/i1/2217590670593/O1CN019qHJlo1GFdx12brW4_!!2217590670593.jpg</t>
        </is>
      </c>
      <c r="L86" s="66" t="n"/>
    </row>
    <row r="87" ht="17" customHeight="1">
      <c r="A87" s="8" t="n">
        <v>84</v>
      </c>
      <c r="B87" s="8" t="inlineStr">
        <is>
          <t>TNW-0702-褐S</t>
        </is>
      </c>
      <c r="C87" s="8" t="inlineStr">
        <is>
          <t>TNW-0702</t>
        </is>
      </c>
      <c r="D87" s="9" t="inlineStr">
        <is>
          <t>扭捏niunie 乐谱印花复古长袖T恤进口美利奴羊毛天丝修身内搭上衣</t>
        </is>
      </c>
      <c r="E87" s="9" t="inlineStr">
        <is>
          <t>茶褐色天丝羊毛长袖t</t>
        </is>
      </c>
      <c r="F87" s="8" t="inlineStr">
        <is>
          <t>S</t>
        </is>
      </c>
      <c r="G87" s="10" t="n">
        <v>299</v>
      </c>
      <c r="H87" s="21" t="n">
        <v>3</v>
      </c>
      <c r="I87" s="58" t="n">
        <v>3</v>
      </c>
      <c r="J87" s="64">
        <f>MAX(I87-H87,0)</f>
        <v/>
      </c>
      <c r="K87" s="67" t="inlineStr">
        <is>
          <t>https://img.alicdn.com/bao/uploaded/i4/2217590670593/O1CN01yjUReo1GFdx1hYVgl_!!2217590670593.jpg</t>
        </is>
      </c>
      <c r="L87" s="66" t="n"/>
    </row>
    <row r="88" ht="17" customHeight="1">
      <c r="A88" s="4" t="n">
        <v>85</v>
      </c>
      <c r="B88" s="4" t="inlineStr">
        <is>
          <t>TNW-0702-绿S</t>
        </is>
      </c>
      <c r="C88" s="4" t="inlineStr">
        <is>
          <t>TNW-0702</t>
        </is>
      </c>
      <c r="D88" s="5" t="inlineStr">
        <is>
          <t>扭捏niunie 乐谱印花复古长袖T恤进口美利奴羊毛天丝修身内搭上衣</t>
        </is>
      </c>
      <c r="E88" s="5" t="inlineStr">
        <is>
          <t>草绿色天丝羊毛长袖t</t>
        </is>
      </c>
      <c r="F88" s="4" t="inlineStr">
        <is>
          <t>S</t>
        </is>
      </c>
      <c r="G88" s="6" t="n">
        <v>299</v>
      </c>
      <c r="H88" s="21" t="n">
        <v>10</v>
      </c>
      <c r="I88" s="58" t="n">
        <v>3</v>
      </c>
      <c r="J88" s="64">
        <f>MAX(I88-H88,0)</f>
        <v/>
      </c>
      <c r="K88" s="65" t="inlineStr">
        <is>
          <t>https://img.alicdn.com/bao/uploaded/i1/2217590670593/O1CN019qHJlo1GFdx12brW4_!!2217590670593.jpg</t>
        </is>
      </c>
      <c r="L88" s="66" t="n"/>
    </row>
    <row r="89" ht="17" customHeight="1">
      <c r="A89" s="8" t="n">
        <v>86</v>
      </c>
      <c r="B89" s="8" t="inlineStr">
        <is>
          <t>TNW-0915-M</t>
        </is>
      </c>
      <c r="C89" s="8" t="inlineStr">
        <is>
          <t>TNW-0802</t>
        </is>
      </c>
      <c r="D89" s="9" t="inlineStr">
        <is>
          <t>扭捏niunie法式复古撞色拼接衬衫澳洲进口美利奴羊毛缩绒工艺上衣</t>
        </is>
      </c>
      <c r="E89" s="9" t="inlineStr">
        <is>
          <t>浅绿色花苞裙</t>
        </is>
      </c>
      <c r="F89" s="8" t="inlineStr">
        <is>
          <t>M</t>
        </is>
      </c>
      <c r="G89" s="10" t="n">
        <v>499</v>
      </c>
      <c r="H89" s="21" t="n">
        <v>3</v>
      </c>
      <c r="I89" s="58" t="n">
        <v>3</v>
      </c>
      <c r="J89" s="64">
        <f>MAX(I89-H89,0)</f>
        <v/>
      </c>
      <c r="K89" s="67" t="inlineStr">
        <is>
          <t>https://img.alicdn.com/bao/uploaded/i1/2217590670593/O1CN01wihPxS1GFdwvCQXKy_!!2217590670593.jpg</t>
        </is>
      </c>
      <c r="L89" s="66" t="n"/>
    </row>
    <row r="90" ht="17" customHeight="1">
      <c r="A90" s="4" t="n">
        <v>87</v>
      </c>
      <c r="B90" s="4" t="inlineStr">
        <is>
          <t>TNW-0915-S</t>
        </is>
      </c>
      <c r="C90" s="4" t="inlineStr">
        <is>
          <t>TNW-0802</t>
        </is>
      </c>
      <c r="D90" s="5" t="inlineStr">
        <is>
          <t>扭捏niunie法式复古撞色拼接衬衫澳洲进口美利奴羊毛缩绒工艺上衣</t>
        </is>
      </c>
      <c r="E90" s="5" t="inlineStr">
        <is>
          <t>浅绿色花苞裙</t>
        </is>
      </c>
      <c r="F90" s="4" t="inlineStr">
        <is>
          <t>S</t>
        </is>
      </c>
      <c r="G90" s="6" t="n">
        <v>499</v>
      </c>
      <c r="H90" s="21" t="n">
        <v>3</v>
      </c>
      <c r="I90" s="58" t="n">
        <v>3</v>
      </c>
      <c r="J90" s="64">
        <f>MAX(I90-H90,0)</f>
        <v/>
      </c>
      <c r="K90" s="65" t="inlineStr">
        <is>
          <t>https://img.alicdn.com/bao/uploaded/i1/2217590670593/O1CN01wihPxS1GFdwvCQXKy_!!2217590670593.jpg</t>
        </is>
      </c>
      <c r="L90" s="66" t="n"/>
    </row>
    <row r="91" ht="17" customHeight="1">
      <c r="A91" s="8" t="n">
        <v>88</v>
      </c>
      <c r="B91" s="8" t="inlineStr">
        <is>
          <t>TNW-1010-M</t>
        </is>
      </c>
      <c r="C91" s="8" t="inlineStr">
        <is>
          <t>TNW-1010</t>
        </is>
      </c>
      <c r="D91" s="9" t="inlineStr">
        <is>
          <t>扭捏niunie 复古vintage格子碎花拼接半身裙修身显瘦田园风中长裙</t>
        </is>
      </c>
      <c r="E91" s="9" t="inlineStr">
        <is>
          <t>格子碎花拼接半裙</t>
        </is>
      </c>
      <c r="F91" s="8" t="inlineStr">
        <is>
          <t>M</t>
        </is>
      </c>
      <c r="G91" s="10" t="n">
        <v>439</v>
      </c>
      <c r="H91" s="21" t="n">
        <v>4</v>
      </c>
      <c r="I91" s="58" t="n">
        <v>3</v>
      </c>
      <c r="J91" s="64">
        <f>MAX(I91-H91,0)</f>
        <v/>
      </c>
      <c r="K91" s="67" t="inlineStr">
        <is>
          <t>https://img.alicdn.com/bao/uploaded/i4/2217590670593/O1CN01eVMZOI1GFdsWomFSu_!!2217590670593.jpg</t>
        </is>
      </c>
      <c r="L91" s="66" t="n"/>
    </row>
    <row r="92" ht="17" customHeight="1">
      <c r="A92" s="4" t="n">
        <v>89</v>
      </c>
      <c r="B92" s="4" t="inlineStr">
        <is>
          <t>TNW-1010-S</t>
        </is>
      </c>
      <c r="C92" s="4" t="inlineStr">
        <is>
          <t>TNW-1010</t>
        </is>
      </c>
      <c r="D92" s="5" t="inlineStr">
        <is>
          <t>扭捏niunie 复古vintage格子碎花拼接半身裙修身显瘦田园风中长裙</t>
        </is>
      </c>
      <c r="E92" s="5" t="inlineStr">
        <is>
          <t>格子碎花拼接半裙</t>
        </is>
      </c>
      <c r="F92" s="4" t="inlineStr">
        <is>
          <t>S</t>
        </is>
      </c>
      <c r="G92" s="6" t="n">
        <v>439</v>
      </c>
      <c r="H92" s="21" t="n">
        <v>6</v>
      </c>
      <c r="I92" s="58" t="n">
        <v>3</v>
      </c>
      <c r="J92" s="64">
        <f>MAX(I92-H92,0)</f>
        <v/>
      </c>
      <c r="K92" s="65" t="inlineStr">
        <is>
          <t>https://img.alicdn.com/bao/uploaded/i4/2217590670593/O1CN01eVMZOI1GFdsWomFSu_!!2217590670593.jpg</t>
        </is>
      </c>
      <c r="L92" s="66" t="n"/>
    </row>
    <row r="93" ht="17" customHeight="1">
      <c r="A93" s="8" t="n">
        <v>90</v>
      </c>
      <c r="B93" s="8" t="inlineStr">
        <is>
          <t>TNW-0918-M</t>
        </is>
      </c>
      <c r="C93" s="8" t="inlineStr">
        <is>
          <t>TNW-0918</t>
        </is>
      </c>
      <c r="D93" s="9" t="inlineStr">
        <is>
          <t>【我只想睡觉】原创印花圆领毛巾卫衣复古宽松上衣 扭捏niunie</t>
        </is>
      </c>
      <c r="E93" s="9" t="inlineStr">
        <is>
          <t>撞色圆领卫衣</t>
        </is>
      </c>
      <c r="F93" s="8" t="inlineStr">
        <is>
          <t>M</t>
        </is>
      </c>
      <c r="G93" s="10" t="n">
        <v>299</v>
      </c>
      <c r="H93" s="21" t="n">
        <v>7</v>
      </c>
      <c r="I93" s="58" t="n">
        <v>3</v>
      </c>
      <c r="J93" s="64">
        <f>MAX(I93-H93,0)</f>
        <v/>
      </c>
      <c r="K93" s="67" t="inlineStr">
        <is>
          <t>https://img.alicdn.com/bao/uploaded/i2/2217590670593/O1CN01uKNQeD1GFdwzZUDc8_!!2217590670593.jpg</t>
        </is>
      </c>
      <c r="L93" s="66" t="n"/>
    </row>
    <row r="94" ht="17" customHeight="1">
      <c r="A94" s="4" t="n">
        <v>91</v>
      </c>
      <c r="B94" s="4" t="inlineStr">
        <is>
          <t>TNW-0918-S</t>
        </is>
      </c>
      <c r="C94" s="4" t="inlineStr">
        <is>
          <t>TNW-0918</t>
        </is>
      </c>
      <c r="D94" s="5" t="inlineStr">
        <is>
          <t>【我只想睡觉】原创印花圆领毛巾卫衣复古宽松上衣 扭捏niunie</t>
        </is>
      </c>
      <c r="E94" s="5" t="inlineStr">
        <is>
          <t>撞色圆领卫衣</t>
        </is>
      </c>
      <c r="F94" s="4" t="inlineStr">
        <is>
          <t>S</t>
        </is>
      </c>
      <c r="G94" s="6" t="n">
        <v>299</v>
      </c>
      <c r="H94" s="21" t="n">
        <v>11</v>
      </c>
      <c r="I94" s="58" t="n">
        <v>3</v>
      </c>
      <c r="J94" s="64">
        <f>MAX(I94-H94,0)</f>
        <v/>
      </c>
      <c r="K94" s="65" t="inlineStr">
        <is>
          <t>https://img.alicdn.com/bao/uploaded/i2/2217590670593/O1CN01uKNQeD1GFdwzZUDc8_!!2217590670593.jpg</t>
        </is>
      </c>
      <c r="L94" s="66" t="n"/>
    </row>
    <row r="95" ht="17" customHeight="1">
      <c r="A95" s="8" t="n">
        <v>92</v>
      </c>
      <c r="B95" s="8" t="inlineStr">
        <is>
          <t>NN2536-M</t>
        </is>
      </c>
      <c r="C95" s="8" t="inlineStr">
        <is>
          <t>NN2536</t>
        </is>
      </c>
      <c r="D95" s="9" t="inlineStr">
        <is>
          <t>扭捏niunie 多巴胺提花蓝色慵懒风休闲长裤宽松显瘦百搭直筒裤女</t>
        </is>
      </c>
      <c r="E95" s="9" t="inlineStr">
        <is>
          <t>蓝色提花宽松长裤</t>
        </is>
      </c>
      <c r="F95" s="8" t="inlineStr">
        <is>
          <t>M</t>
        </is>
      </c>
      <c r="G95" s="10" t="n">
        <v>319</v>
      </c>
      <c r="H95" s="21" t="n">
        <v>2</v>
      </c>
      <c r="I95" s="58" t="n">
        <v>3</v>
      </c>
      <c r="J95" s="64">
        <f>MAX(I95-H95,0)</f>
        <v/>
      </c>
      <c r="K95" s="67" t="inlineStr">
        <is>
          <t>https://img.alicdn.com/bao/uploaded/i3/2217590670593/O1CN01RQaGbH1GFdwvGSLnf_!!2217590670593.jpg</t>
        </is>
      </c>
      <c r="L95" s="66" t="n"/>
    </row>
    <row r="96" ht="17" customHeight="1">
      <c r="A96" s="4" t="n">
        <v>93</v>
      </c>
      <c r="B96" s="4" t="inlineStr">
        <is>
          <t>NN2536-S</t>
        </is>
      </c>
      <c r="C96" s="4" t="inlineStr">
        <is>
          <t>NN2536</t>
        </is>
      </c>
      <c r="D96" s="5" t="inlineStr">
        <is>
          <t>扭捏niunie 多巴胺提花蓝色慵懒风休闲长裤宽松显瘦百搭直筒裤女</t>
        </is>
      </c>
      <c r="E96" s="5" t="inlineStr">
        <is>
          <t>蓝色提花宽松长裤</t>
        </is>
      </c>
      <c r="F96" s="4" t="inlineStr">
        <is>
          <t>S</t>
        </is>
      </c>
      <c r="G96" s="6" t="n">
        <v>319</v>
      </c>
      <c r="H96" s="21" t="n">
        <v>0</v>
      </c>
      <c r="I96" s="58" t="n">
        <v>3</v>
      </c>
      <c r="J96" s="64">
        <f>MAX(I96-H96,0)</f>
        <v/>
      </c>
      <c r="K96" s="65" t="inlineStr">
        <is>
          <t>https://img.alicdn.com/bao/uploaded/i3/2217590670593/O1CN01RQaGbH1GFdwvGSLnf_!!2217590670593.jpg</t>
        </is>
      </c>
      <c r="L96" s="66" t="n"/>
    </row>
    <row r="97" ht="17" customHeight="1">
      <c r="A97" s="8" t="n">
        <v>94</v>
      </c>
      <c r="B97" s="8" t="inlineStr">
        <is>
          <t>NN2535-M</t>
        </is>
      </c>
      <c r="C97" s="8" t="inlineStr">
        <is>
          <t>NN2535</t>
        </is>
      </c>
      <c r="D97" s="9" t="inlineStr">
        <is>
          <t>扭捏niunie复古双层荷叶边绿色皱褶设计长袖衬衫收腰显瘦系带上衣</t>
        </is>
      </c>
      <c r="E97" s="9" t="inlineStr">
        <is>
          <t>双层荷叶边绿色衬衫</t>
        </is>
      </c>
      <c r="F97" s="8" t="inlineStr">
        <is>
          <t>M</t>
        </is>
      </c>
      <c r="G97" s="10" t="n">
        <v>339</v>
      </c>
      <c r="H97" s="21" t="n">
        <v>10</v>
      </c>
      <c r="I97" s="58" t="n">
        <v>3</v>
      </c>
      <c r="J97" s="64">
        <f>MAX(I97-H97,0)</f>
        <v/>
      </c>
      <c r="K97" s="67" t="inlineStr">
        <is>
          <t>https://img.alicdn.com/bao/uploaded/i1/2217590670593/O1CN01qbhRsy1GFdx02nM70_!!2217590670593.jpg</t>
        </is>
      </c>
      <c r="L97" s="66" t="n"/>
    </row>
    <row r="98" ht="17" customHeight="1">
      <c r="A98" s="4" t="n">
        <v>95</v>
      </c>
      <c r="B98" s="4" t="inlineStr">
        <is>
          <t>NN2535-S</t>
        </is>
      </c>
      <c r="C98" s="4" t="inlineStr">
        <is>
          <t>NN2535</t>
        </is>
      </c>
      <c r="D98" s="5" t="inlineStr">
        <is>
          <t>扭捏niunie复古双层荷叶边绿色皱褶设计长袖衬衫收腰显瘦系带上衣</t>
        </is>
      </c>
      <c r="E98" s="5" t="inlineStr">
        <is>
          <t>双层荷叶边绿色衬衫</t>
        </is>
      </c>
      <c r="F98" s="4" t="inlineStr">
        <is>
          <t>S</t>
        </is>
      </c>
      <c r="G98" s="6" t="n">
        <v>339</v>
      </c>
      <c r="H98" s="21" t="n">
        <v>2</v>
      </c>
      <c r="I98" s="58" t="n">
        <v>3</v>
      </c>
      <c r="J98" s="64">
        <f>MAX(I98-H98,0)</f>
        <v/>
      </c>
      <c r="K98" s="65" t="inlineStr">
        <is>
          <t>https://img.alicdn.com/bao/uploaded/i1/2217590670593/O1CN01qbhRsy1GFdx02nM70_!!2217590670593.jpg</t>
        </is>
      </c>
      <c r="L98" s="66" t="n"/>
    </row>
    <row r="99" ht="17" customHeight="1">
      <c r="A99" s="8" t="n">
        <v>96</v>
      </c>
      <c r="B99" s="8" t="inlineStr">
        <is>
          <t>NN2534-M</t>
        </is>
      </c>
      <c r="C99" s="8" t="inlineStr">
        <is>
          <t>NN2534</t>
        </is>
      </c>
      <c r="D99" s="9" t="inlineStr">
        <is>
          <t>扭捏niunie 文艺复古棕色系格子大口袋半身裙中腰显瘦全棉中长裙</t>
        </is>
      </c>
      <c r="E99" s="9" t="inlineStr">
        <is>
          <t>棕色系拼色格子半裙</t>
        </is>
      </c>
      <c r="F99" s="8" t="inlineStr">
        <is>
          <t>M</t>
        </is>
      </c>
      <c r="G99" s="10" t="n">
        <v>369</v>
      </c>
      <c r="H99" s="21" t="n">
        <v>1</v>
      </c>
      <c r="I99" s="58" t="n">
        <v>3</v>
      </c>
      <c r="J99" s="64">
        <f>MAX(I99-H99,0)</f>
        <v/>
      </c>
      <c r="K99" s="67" t="inlineStr">
        <is>
          <t>https://img.alicdn.com/bao/uploaded/i3/2217590670593/O1CN012vmpOo1GFdwwmyweb_!!2217590670593.jpg</t>
        </is>
      </c>
      <c r="L99" s="66" t="n"/>
    </row>
    <row r="100" ht="17" customHeight="1">
      <c r="A100" s="4" t="n">
        <v>97</v>
      </c>
      <c r="B100" s="4" t="inlineStr">
        <is>
          <t>NN2534-S</t>
        </is>
      </c>
      <c r="C100" s="4" t="inlineStr">
        <is>
          <t>NN2534</t>
        </is>
      </c>
      <c r="D100" s="5" t="inlineStr">
        <is>
          <t>扭捏niunie 文艺复古棕色系格子大口袋半身裙中腰显瘦全棉中长裙</t>
        </is>
      </c>
      <c r="E100" s="5" t="inlineStr">
        <is>
          <t>棕色系拼色格子半裙</t>
        </is>
      </c>
      <c r="F100" s="4" t="inlineStr">
        <is>
          <t>S</t>
        </is>
      </c>
      <c r="G100" s="6" t="n">
        <v>369</v>
      </c>
      <c r="H100" s="21" t="n">
        <v>8</v>
      </c>
      <c r="I100" s="58" t="n">
        <v>3</v>
      </c>
      <c r="J100" s="64">
        <f>MAX(I100-H100,0)</f>
        <v/>
      </c>
      <c r="K100" s="65" t="inlineStr">
        <is>
          <t>https://img.alicdn.com/bao/uploaded/i3/2217590670593/O1CN012vmpOo1GFdwwmyweb_!!2217590670593.jpg</t>
        </is>
      </c>
      <c r="L100" s="66" t="n"/>
    </row>
    <row r="101" ht="17" customHeight="1">
      <c r="A101" s="8" t="n">
        <v>98</v>
      </c>
      <c r="B101" s="8" t="inlineStr">
        <is>
          <t>NN2533-M</t>
        </is>
      </c>
      <c r="C101" s="8" t="inlineStr">
        <is>
          <t>NN2533</t>
        </is>
      </c>
      <c r="D101" s="9" t="inlineStr">
        <is>
          <t>【秋天的童话】原创巴恩风剪花小格子重工半身裙复古中长裙女秋款</t>
        </is>
      </c>
      <c r="E101" s="9" t="inlineStr">
        <is>
          <t>彩色剪花小格子半身裙</t>
        </is>
      </c>
      <c r="F101" s="8" t="inlineStr">
        <is>
          <t>M</t>
        </is>
      </c>
      <c r="G101" s="10" t="n">
        <v>429</v>
      </c>
      <c r="H101" s="21" t="n">
        <v>25</v>
      </c>
      <c r="I101" s="58" t="n">
        <v>3</v>
      </c>
      <c r="J101" s="64">
        <f>MAX(I101-H101,0)</f>
        <v/>
      </c>
      <c r="K101" s="67" t="inlineStr">
        <is>
          <t>https://img.alicdn.com/bao/uploaded/i4/2217590670593/O1CN01g52yMQ1GFdx0brzbm_!!2217590670593.jpg</t>
        </is>
      </c>
      <c r="L101" s="66" t="n"/>
    </row>
    <row r="102" ht="17" customHeight="1">
      <c r="A102" s="4" t="n">
        <v>99</v>
      </c>
      <c r="B102" s="4" t="inlineStr">
        <is>
          <t>NN2533-S</t>
        </is>
      </c>
      <c r="C102" s="4" t="inlineStr">
        <is>
          <t>NN2533</t>
        </is>
      </c>
      <c r="D102" s="5" t="inlineStr">
        <is>
          <t>【秋天的童话】原创巴恩风剪花小格子重工半身裙复古中长裙女秋款</t>
        </is>
      </c>
      <c r="E102" s="5" t="inlineStr">
        <is>
          <t>彩色剪花小格子半身裙</t>
        </is>
      </c>
      <c r="F102" s="4" t="inlineStr">
        <is>
          <t>S</t>
        </is>
      </c>
      <c r="G102" s="6" t="n">
        <v>429</v>
      </c>
      <c r="H102" s="21" t="n">
        <v>23</v>
      </c>
      <c r="I102" s="58" t="n">
        <v>3</v>
      </c>
      <c r="J102" s="64">
        <f>MAX(I102-H102,0)</f>
        <v/>
      </c>
      <c r="K102" s="65" t="inlineStr">
        <is>
          <t>https://img.alicdn.com/bao/uploaded/i4/2217590670593/O1CN01g52yMQ1GFdx0brzbm_!!2217590670593.jpg</t>
        </is>
      </c>
      <c r="L102" s="66" t="n"/>
    </row>
    <row r="103" ht="17" customHeight="1">
      <c r="A103" s="8" t="n">
        <v>100</v>
      </c>
      <c r="B103" s="8" t="inlineStr">
        <is>
          <t>TNW-0802-M</t>
        </is>
      </c>
      <c r="C103" s="8" t="inlineStr">
        <is>
          <t>TNW-0802</t>
        </is>
      </c>
      <c r="D103" s="9" t="inlineStr">
        <is>
          <t>扭捏niunie法式复古撞色拼接衬衫澳洲进口美利奴羊毛缩绒工艺上衣</t>
        </is>
      </c>
      <c r="E103" s="9" t="inlineStr">
        <is>
          <t>进口羊毛缩绒衬衫</t>
        </is>
      </c>
      <c r="F103" s="8" t="inlineStr">
        <is>
          <t>M</t>
        </is>
      </c>
      <c r="G103" s="10" t="n">
        <v>529</v>
      </c>
      <c r="H103" s="21" t="n">
        <v>3</v>
      </c>
      <c r="I103" s="58" t="n">
        <v>3</v>
      </c>
      <c r="J103" s="64">
        <f>MAX(I103-H103,0)</f>
        <v/>
      </c>
      <c r="K103" s="67" t="inlineStr">
        <is>
          <t>https://img.alicdn.com/bao/uploaded/i1/2217590670593/O1CN01wihPxS1GFdwvCQXKy_!!2217590670593.jpg</t>
        </is>
      </c>
      <c r="L103" s="66" t="n"/>
    </row>
    <row r="104" ht="17" customHeight="1">
      <c r="A104" s="4" t="n">
        <v>101</v>
      </c>
      <c r="B104" s="4" t="inlineStr">
        <is>
          <t>TNW-0802-S</t>
        </is>
      </c>
      <c r="C104" s="4" t="inlineStr">
        <is>
          <t>TNW-0802</t>
        </is>
      </c>
      <c r="D104" s="5" t="inlineStr">
        <is>
          <t>扭捏niunie法式复古撞色拼接衬衫澳洲进口美利奴羊毛缩绒工艺上衣</t>
        </is>
      </c>
      <c r="E104" s="5" t="inlineStr">
        <is>
          <t>进口羊毛缩绒衬衫</t>
        </is>
      </c>
      <c r="F104" s="4" t="inlineStr">
        <is>
          <t>S</t>
        </is>
      </c>
      <c r="G104" s="6" t="n">
        <v>529</v>
      </c>
      <c r="H104" s="21" t="n">
        <v>7</v>
      </c>
      <c r="I104" s="58" t="n">
        <v>3</v>
      </c>
      <c r="J104" s="64">
        <f>MAX(I104-H104,0)</f>
        <v/>
      </c>
      <c r="K104" s="65" t="inlineStr">
        <is>
          <t>https://img.alicdn.com/bao/uploaded/i1/2217590670593/O1CN01wihPxS1GFdwvCQXKy_!!2217590670593.jpg</t>
        </is>
      </c>
      <c r="L104" s="66" t="n"/>
    </row>
    <row r="105" ht="17" customHeight="1">
      <c r="A105" s="8" t="n">
        <v>102</v>
      </c>
      <c r="B105" s="8" t="inlineStr">
        <is>
          <t>NN2530-M</t>
        </is>
      </c>
      <c r="C105" s="8" t="inlineStr">
        <is>
          <t>NN2530</t>
        </is>
      </c>
      <c r="D105" s="9" t="inlineStr">
        <is>
          <t>扭捏niunie 小浣熊松鼠趣味提花蓝色长袖衬衫宽松全棉纽扣上衣女</t>
        </is>
      </c>
      <c r="E105" s="9" t="inlineStr">
        <is>
          <t>小浣熊提花蓝色衬衫</t>
        </is>
      </c>
      <c r="F105" s="8" t="inlineStr">
        <is>
          <t>M</t>
        </is>
      </c>
      <c r="G105" s="10" t="n">
        <v>339</v>
      </c>
      <c r="H105" s="21" t="n">
        <v>2</v>
      </c>
      <c r="I105" s="58" t="n">
        <v>3</v>
      </c>
      <c r="J105" s="64">
        <f>MAX(I105-H105,0)</f>
        <v/>
      </c>
      <c r="K105" s="67" t="inlineStr">
        <is>
          <t>https://img.alicdn.com/bao/uploaded/i3/2217590670593/O1CN01pppdkt1GFdww67oSS_!!2217590670593.jpg</t>
        </is>
      </c>
      <c r="L105" s="66" t="n"/>
    </row>
    <row r="106" ht="17" customHeight="1">
      <c r="A106" s="4" t="n">
        <v>103</v>
      </c>
      <c r="B106" s="4" t="inlineStr">
        <is>
          <t>NN2530-S</t>
        </is>
      </c>
      <c r="C106" s="4" t="inlineStr">
        <is>
          <t>NN2530</t>
        </is>
      </c>
      <c r="D106" s="5" t="inlineStr">
        <is>
          <t>扭捏niunie 小浣熊松鼠趣味提花蓝色长袖衬衫宽松全棉纽扣上衣女</t>
        </is>
      </c>
      <c r="E106" s="5" t="inlineStr">
        <is>
          <t>小浣熊提花蓝色衬衫</t>
        </is>
      </c>
      <c r="F106" s="4" t="inlineStr">
        <is>
          <t>S</t>
        </is>
      </c>
      <c r="G106" s="6" t="n">
        <v>339</v>
      </c>
      <c r="H106" s="21" t="n">
        <v>7</v>
      </c>
      <c r="I106" s="58" t="n">
        <v>3</v>
      </c>
      <c r="J106" s="64">
        <f>MAX(I106-H106,0)</f>
        <v/>
      </c>
      <c r="K106" s="65" t="inlineStr">
        <is>
          <t>https://img.alicdn.com/bao/uploaded/i3/2217590670593/O1CN01pppdkt1GFdww67oSS_!!2217590670593.jpg</t>
        </is>
      </c>
      <c r="L106" s="66" t="n"/>
    </row>
    <row r="107" ht="17" customHeight="1">
      <c r="A107" s="8" t="n">
        <v>104</v>
      </c>
      <c r="B107" s="8" t="inlineStr">
        <is>
          <t>NN2538-M</t>
        </is>
      </c>
      <c r="C107" s="8" t="inlineStr">
        <is>
          <t>NN2537-2538</t>
        </is>
      </c>
      <c r="D107" s="9" t="inlineStr">
        <is>
          <t>扭捏niunie 复古休闲翻领牛仔外套格子拼接A字半裙全棉高级感套装</t>
        </is>
      </c>
      <c r="E107" s="9" t="inlineStr">
        <is>
          <t>牛仔拼接格子半裙</t>
        </is>
      </c>
      <c r="F107" s="8" t="inlineStr">
        <is>
          <t>M</t>
        </is>
      </c>
      <c r="G107" s="10" t="n">
        <v>399</v>
      </c>
      <c r="H107" s="21" t="n">
        <v>37</v>
      </c>
      <c r="I107" s="58" t="n">
        <v>3</v>
      </c>
      <c r="J107" s="64">
        <f>MAX(I107-H107,0)</f>
        <v/>
      </c>
      <c r="K107" s="67" t="inlineStr">
        <is>
          <t>https://img.alicdn.com/bao/uploaded/i2/2217590670593/O1CN01qfv5mh1GFdwwcgMbc_!!2217590670593.jpg</t>
        </is>
      </c>
      <c r="L107" s="66" t="n"/>
    </row>
    <row r="108" ht="17" customHeight="1">
      <c r="A108" s="4" t="n">
        <v>105</v>
      </c>
      <c r="B108" s="4" t="inlineStr">
        <is>
          <t>NN2538-S</t>
        </is>
      </c>
      <c r="C108" s="4" t="inlineStr">
        <is>
          <t>NN2537-2538</t>
        </is>
      </c>
      <c r="D108" s="5" t="inlineStr">
        <is>
          <t>扭捏niunie 复古休闲翻领牛仔外套格子拼接A字半裙全棉高级感套装</t>
        </is>
      </c>
      <c r="E108" s="5" t="inlineStr">
        <is>
          <t>牛仔拼接格子半裙</t>
        </is>
      </c>
      <c r="F108" s="4" t="inlineStr">
        <is>
          <t>S</t>
        </is>
      </c>
      <c r="G108" s="6" t="n">
        <v>399</v>
      </c>
      <c r="H108" s="21" t="n">
        <v>48</v>
      </c>
      <c r="I108" s="58" t="n">
        <v>3</v>
      </c>
      <c r="J108" s="64">
        <f>MAX(I108-H108,0)</f>
        <v/>
      </c>
      <c r="K108" s="65" t="inlineStr">
        <is>
          <t>https://img.alicdn.com/bao/uploaded/i2/2217590670593/O1CN01qfv5mh1GFdwwcgMbc_!!2217590670593.jpg</t>
        </is>
      </c>
      <c r="L108" s="66" t="n"/>
    </row>
    <row r="109" ht="17" customHeight="1">
      <c r="A109" s="8" t="n">
        <v>106</v>
      </c>
      <c r="B109" s="8" t="inlineStr">
        <is>
          <t>NN2537-M</t>
        </is>
      </c>
      <c r="C109" s="8" t="inlineStr">
        <is>
          <t>NN2537-2538</t>
        </is>
      </c>
      <c r="D109" s="9" t="inlineStr">
        <is>
          <t>扭捏niunie 复古休闲翻领牛仔外套格子拼接A字半裙全棉高级感套装</t>
        </is>
      </c>
      <c r="E109" s="9" t="inlineStr">
        <is>
          <t>牛仔外套</t>
        </is>
      </c>
      <c r="F109" s="8" t="inlineStr">
        <is>
          <t>M</t>
        </is>
      </c>
      <c r="G109" s="10" t="n">
        <v>369</v>
      </c>
      <c r="H109" s="21" t="n">
        <v>0</v>
      </c>
      <c r="I109" s="58" t="n">
        <v>3</v>
      </c>
      <c r="J109" s="64">
        <f>MAX(I109-H109,0)</f>
        <v/>
      </c>
      <c r="K109" s="67" t="inlineStr">
        <is>
          <t>https://img.alicdn.com/bao/uploaded/i1/2217590670593/O1CN01BnonAW1GFdwvincOo_!!2217590670593.jpg</t>
        </is>
      </c>
      <c r="L109" s="66" t="n"/>
    </row>
    <row r="110" ht="17" customHeight="1">
      <c r="A110" s="4" t="n">
        <v>107</v>
      </c>
      <c r="B110" s="4" t="inlineStr">
        <is>
          <t>NN2537-S</t>
        </is>
      </c>
      <c r="C110" s="4" t="inlineStr">
        <is>
          <t>NN2537-2538</t>
        </is>
      </c>
      <c r="D110" s="5" t="inlineStr">
        <is>
          <t>扭捏niunie 复古休闲翻领牛仔外套格子拼接A字半裙全棉高级感套装</t>
        </is>
      </c>
      <c r="E110" s="5" t="inlineStr">
        <is>
          <t>牛仔外套</t>
        </is>
      </c>
      <c r="F110" s="4" t="inlineStr">
        <is>
          <t>S</t>
        </is>
      </c>
      <c r="G110" s="6" t="n">
        <v>369</v>
      </c>
      <c r="H110" s="21" t="n">
        <v>0</v>
      </c>
      <c r="I110" s="58" t="n">
        <v>3</v>
      </c>
      <c r="J110" s="64">
        <f>MAX(I110-H110,0)</f>
        <v/>
      </c>
      <c r="K110" s="65" t="inlineStr">
        <is>
          <t>https://img.alicdn.com/bao/uploaded/i1/2217590670593/O1CN01BnonAW1GFdwvincOo_!!2217590670593.jpg</t>
        </is>
      </c>
      <c r="L110" s="66" t="n"/>
    </row>
    <row r="111" ht="17" customHeight="1">
      <c r="A111" s="8" t="n">
        <v>108</v>
      </c>
      <c r="B111" s="8" t="inlineStr"/>
      <c r="C111" s="8" t="inlineStr">
        <is>
          <t>NN-2515</t>
        </is>
      </c>
      <c r="D111" s="9" t="inlineStr">
        <is>
          <t>扭捏niunie 复古vintage宽松慵懒感上衣 果实扣100%苎麻衬衫夏季</t>
        </is>
      </c>
      <c r="E111" s="9" t="inlineStr">
        <is>
          <t>黄色</t>
        </is>
      </c>
      <c r="F111" s="8" t="inlineStr">
        <is>
          <t>L</t>
        </is>
      </c>
      <c r="G111" s="10" t="n">
        <v>398</v>
      </c>
      <c r="H111" s="21" t="n">
        <v>11</v>
      </c>
      <c r="I111" s="58" t="n">
        <v>3</v>
      </c>
      <c r="J111" s="64">
        <f>MAX(I111-H111,0)</f>
        <v/>
      </c>
      <c r="K111" s="67" t="inlineStr">
        <is>
          <t>https://img.alicdn.com/bao/uploaded/i4/2217590670593/O1CN01Z5hiwq1GFdv2jmgHC_!!2217590670593.jpg</t>
        </is>
      </c>
      <c r="L111" s="66" t="n"/>
    </row>
    <row r="112" ht="17" customHeight="1">
      <c r="A112" s="4" t="n">
        <v>109</v>
      </c>
      <c r="B112" s="4" t="inlineStr"/>
      <c r="C112" s="4" t="inlineStr">
        <is>
          <t>NN-2515</t>
        </is>
      </c>
      <c r="D112" s="5" t="inlineStr">
        <is>
          <t>扭捏niunie 复古vintage宽松慵懒感上衣 果实扣100%苎麻衬衫夏季</t>
        </is>
      </c>
      <c r="E112" s="5" t="inlineStr">
        <is>
          <t>黄色</t>
        </is>
      </c>
      <c r="F112" s="4" t="inlineStr">
        <is>
          <t>M</t>
        </is>
      </c>
      <c r="G112" s="6" t="n">
        <v>398</v>
      </c>
      <c r="H112" s="21" t="n">
        <v>25</v>
      </c>
      <c r="I112" s="58" t="n">
        <v>3</v>
      </c>
      <c r="J112" s="64">
        <f>MAX(I112-H112,0)</f>
        <v/>
      </c>
      <c r="K112" s="65" t="inlineStr">
        <is>
          <t>https://img.alicdn.com/bao/uploaded/i4/2217590670593/O1CN01Z5hiwq1GFdv2jmgHC_!!2217590670593.jpg</t>
        </is>
      </c>
      <c r="L112" s="66" t="n"/>
    </row>
    <row r="113" ht="17" customHeight="1">
      <c r="A113" s="8" t="n">
        <v>110</v>
      </c>
      <c r="B113" s="8" t="inlineStr"/>
      <c r="C113" s="8" t="inlineStr">
        <is>
          <t>NN-2515</t>
        </is>
      </c>
      <c r="D113" s="9" t="inlineStr">
        <is>
          <t>扭捏niunie 复古vintage宽松慵懒感上衣 果实扣100%苎麻衬衫夏季</t>
        </is>
      </c>
      <c r="E113" s="9" t="inlineStr">
        <is>
          <t>黄色</t>
        </is>
      </c>
      <c r="F113" s="8" t="inlineStr">
        <is>
          <t>S</t>
        </is>
      </c>
      <c r="G113" s="10" t="n">
        <v>398</v>
      </c>
      <c r="H113" s="21" t="n">
        <v>16</v>
      </c>
      <c r="I113" s="58" t="n">
        <v>3</v>
      </c>
      <c r="J113" s="64">
        <f>MAX(I113-H113,0)</f>
        <v/>
      </c>
      <c r="K113" s="67" t="inlineStr">
        <is>
          <t>https://img.alicdn.com/bao/uploaded/i4/2217590670593/O1CN01Z5hiwq1GFdv2jmgHC_!!2217590670593.jpg</t>
        </is>
      </c>
      <c r="L113" s="66" t="n"/>
    </row>
    <row r="114" ht="17" customHeight="1">
      <c r="A114" s="4" t="n">
        <v>111</v>
      </c>
      <c r="B114" s="4" t="inlineStr">
        <is>
          <t>NTF0311W-1-L</t>
        </is>
      </c>
      <c r="C114" s="4" t="inlineStr">
        <is>
          <t>NTF-0311</t>
        </is>
      </c>
      <c r="D114" s="5" t="inlineStr">
        <is>
          <t>扭捏 少女的祈祷 花边拼接蛋糕a字小短裙白色半身裙 防走光内衬</t>
        </is>
      </c>
      <c r="E114" s="5" t="inlineStr">
        <is>
          <t>白色拼接短裙 （绗缝位置改版）</t>
        </is>
      </c>
      <c r="F114" s="4" t="inlineStr">
        <is>
          <t>L</t>
        </is>
      </c>
      <c r="G114" s="6" t="n">
        <v>338</v>
      </c>
      <c r="H114" s="21" t="n">
        <v>13</v>
      </c>
      <c r="I114" s="58" t="n">
        <v>3</v>
      </c>
      <c r="J114" s="64">
        <f>MAX(I114-H114,0)</f>
        <v/>
      </c>
      <c r="K114" s="65" t="inlineStr">
        <is>
          <t>https://img.alicdn.com/bao/uploaded/i1/2217590670593/O1CN01ZmqRQD1GFdwea86Gu_!!2217590670593.jpg</t>
        </is>
      </c>
      <c r="L114" s="66" t="n"/>
    </row>
    <row r="115" ht="17" customHeight="1">
      <c r="A115" s="8" t="n">
        <v>112</v>
      </c>
      <c r="B115" s="8" t="inlineStr">
        <is>
          <t>NTF0311W-1-M</t>
        </is>
      </c>
      <c r="C115" s="8" t="inlineStr">
        <is>
          <t>NTF-0311</t>
        </is>
      </c>
      <c r="D115" s="9" t="inlineStr">
        <is>
          <t>扭捏 少女的祈祷 花边拼接蛋糕a字小短裙白色半身裙 防走光内衬</t>
        </is>
      </c>
      <c r="E115" s="9" t="inlineStr">
        <is>
          <t>白色拼接短裙 （绗缝位置改版）</t>
        </is>
      </c>
      <c r="F115" s="8" t="inlineStr">
        <is>
          <t>M</t>
        </is>
      </c>
      <c r="G115" s="10" t="n">
        <v>338</v>
      </c>
      <c r="H115" s="21" t="n">
        <v>17</v>
      </c>
      <c r="I115" s="58" t="n">
        <v>3</v>
      </c>
      <c r="J115" s="64">
        <f>MAX(I115-H115,0)</f>
        <v/>
      </c>
      <c r="K115" s="67" t="inlineStr">
        <is>
          <t>https://img.alicdn.com/bao/uploaded/i1/2217590670593/O1CN01ZmqRQD1GFdwea86Gu_!!2217590670593.jpg</t>
        </is>
      </c>
      <c r="L115" s="66" t="n"/>
    </row>
    <row r="116" ht="17" customHeight="1">
      <c r="A116" s="4" t="n">
        <v>113</v>
      </c>
      <c r="B116" s="4" t="inlineStr">
        <is>
          <t>NTF0311W-1-S</t>
        </is>
      </c>
      <c r="C116" s="4" t="inlineStr">
        <is>
          <t>NTF-0311</t>
        </is>
      </c>
      <c r="D116" s="5" t="inlineStr">
        <is>
          <t>扭捏 少女的祈祷 花边拼接蛋糕a字小短裙白色半身裙 防走光内衬</t>
        </is>
      </c>
      <c r="E116" s="5" t="inlineStr">
        <is>
          <t>白色拼接短裙 （绗缝位置改版）</t>
        </is>
      </c>
      <c r="F116" s="4" t="inlineStr">
        <is>
          <t>S</t>
        </is>
      </c>
      <c r="G116" s="6" t="n">
        <v>338</v>
      </c>
      <c r="H116" s="21" t="n">
        <v>13</v>
      </c>
      <c r="I116" s="58" t="n">
        <v>3</v>
      </c>
      <c r="J116" s="64">
        <f>MAX(I116-H116,0)</f>
        <v/>
      </c>
      <c r="K116" s="65" t="inlineStr">
        <is>
          <t>https://img.alicdn.com/bao/uploaded/i1/2217590670593/O1CN01ZmqRQD1GFdwea86Gu_!!2217590670593.jpg</t>
        </is>
      </c>
      <c r="L116" s="66" t="n"/>
    </row>
    <row r="117" ht="17" customHeight="1">
      <c r="A117" s="8" t="n">
        <v>114</v>
      </c>
      <c r="B117" s="8" t="inlineStr">
        <is>
          <t>NTF0307B-L</t>
        </is>
      </c>
      <c r="C117" s="8" t="inlineStr">
        <is>
          <t>NTF0307</t>
        </is>
      </c>
      <c r="D117" s="9" t="inlineStr">
        <is>
          <t>扭捏niunie 玫瑰小猫可爱印花 弹力花边圆领正肩白色短袖T恤女夏</t>
        </is>
      </c>
      <c r="E117" s="9" t="inlineStr">
        <is>
          <t>玫瑰印花白色T恤</t>
        </is>
      </c>
      <c r="F117" s="8" t="inlineStr">
        <is>
          <t>L</t>
        </is>
      </c>
      <c r="G117" s="10" t="n">
        <v>198</v>
      </c>
      <c r="H117" s="21" t="n">
        <v>0</v>
      </c>
      <c r="I117" s="58" t="n">
        <v>3</v>
      </c>
      <c r="J117" s="64">
        <f>MAX(I117-H117,0)</f>
        <v/>
      </c>
      <c r="K117" s="67" t="inlineStr">
        <is>
          <t>https://img.alicdn.com/bao/uploaded/i4/2217590670593/O1CN01Luzo9Q1GFdvJKTxCd_!!2217590670593.jpg</t>
        </is>
      </c>
      <c r="L117" s="66" t="n"/>
    </row>
    <row r="118" ht="17" customHeight="1">
      <c r="A118" s="4" t="n">
        <v>115</v>
      </c>
      <c r="B118" s="4" t="inlineStr">
        <is>
          <t>NTF0307B-M</t>
        </is>
      </c>
      <c r="C118" s="4" t="inlineStr">
        <is>
          <t>NTF0307</t>
        </is>
      </c>
      <c r="D118" s="5" t="inlineStr">
        <is>
          <t>扭捏niunie 玫瑰小猫可爱印花 弹力花边圆领正肩白色短袖T恤女夏</t>
        </is>
      </c>
      <c r="E118" s="5" t="inlineStr">
        <is>
          <t>玫瑰印花白色T恤</t>
        </is>
      </c>
      <c r="F118" s="4" t="inlineStr">
        <is>
          <t>M</t>
        </is>
      </c>
      <c r="G118" s="6" t="n">
        <v>198</v>
      </c>
      <c r="H118" s="21" t="n">
        <v>6</v>
      </c>
      <c r="I118" s="58" t="n">
        <v>3</v>
      </c>
      <c r="J118" s="64">
        <f>MAX(I118-H118,0)</f>
        <v/>
      </c>
      <c r="K118" s="65" t="inlineStr">
        <is>
          <t>https://img.alicdn.com/bao/uploaded/i4/2217590670593/O1CN01Luzo9Q1GFdvJKTxCd_!!2217590670593.jpg</t>
        </is>
      </c>
      <c r="L118" s="66" t="n"/>
    </row>
    <row r="119" ht="17" customHeight="1">
      <c r="A119" s="8" t="n">
        <v>116</v>
      </c>
      <c r="B119" s="8" t="inlineStr">
        <is>
          <t>NTF0307B-S</t>
        </is>
      </c>
      <c r="C119" s="8" t="inlineStr">
        <is>
          <t>NTF0307</t>
        </is>
      </c>
      <c r="D119" s="9" t="inlineStr">
        <is>
          <t>扭捏niunie 玫瑰小猫可爱印花 弹力花边圆领正肩白色短袖T恤女夏</t>
        </is>
      </c>
      <c r="E119" s="9" t="inlineStr">
        <is>
          <t>玫瑰印花白色T恤</t>
        </is>
      </c>
      <c r="F119" s="8" t="inlineStr">
        <is>
          <t>S</t>
        </is>
      </c>
      <c r="G119" s="10" t="n">
        <v>198</v>
      </c>
      <c r="H119" s="21" t="n">
        <v>3</v>
      </c>
      <c r="I119" s="58" t="n">
        <v>3</v>
      </c>
      <c r="J119" s="64">
        <f>MAX(I119-H119,0)</f>
        <v/>
      </c>
      <c r="K119" s="67" t="inlineStr">
        <is>
          <t>https://img.alicdn.com/bao/uploaded/i4/2217590670593/O1CN01Luzo9Q1GFdvJKTxCd_!!2217590670593.jpg</t>
        </is>
      </c>
      <c r="L119" s="66" t="n"/>
    </row>
    <row r="120" ht="17" customHeight="1">
      <c r="A120" s="4" t="n">
        <v>117</v>
      </c>
      <c r="B120" s="4" t="inlineStr">
        <is>
          <t>NTF0307C-L</t>
        </is>
      </c>
      <c r="C120" s="4" t="inlineStr">
        <is>
          <t>NTF0307</t>
        </is>
      </c>
      <c r="D120" s="5" t="inlineStr">
        <is>
          <t>扭捏niunie 玫瑰小猫可爱印花 弹力花边圆领正肩白色短袖T恤女夏</t>
        </is>
      </c>
      <c r="E120" s="5" t="inlineStr">
        <is>
          <t>小猫印花白色T恤</t>
        </is>
      </c>
      <c r="F120" s="4" t="inlineStr">
        <is>
          <t>L</t>
        </is>
      </c>
      <c r="G120" s="6" t="n">
        <v>198</v>
      </c>
      <c r="H120" s="21" t="n">
        <v>10</v>
      </c>
      <c r="I120" s="58" t="n">
        <v>3</v>
      </c>
      <c r="J120" s="64">
        <f>MAX(I120-H120,0)</f>
        <v/>
      </c>
      <c r="K120" s="65" t="inlineStr">
        <is>
          <t>https://img.alicdn.com/bao/uploaded/i3/2217590670593/O1CN01pjwUET1GFdvIbTXoT_!!2217590670593.jpg</t>
        </is>
      </c>
      <c r="L120" s="66" t="n"/>
    </row>
    <row r="121" ht="17" customHeight="1">
      <c r="A121" s="8" t="n">
        <v>118</v>
      </c>
      <c r="B121" s="8" t="inlineStr">
        <is>
          <t>NTF0307C-M</t>
        </is>
      </c>
      <c r="C121" s="8" t="inlineStr">
        <is>
          <t>NTF0307</t>
        </is>
      </c>
      <c r="D121" s="9" t="inlineStr">
        <is>
          <t>扭捏niunie 玫瑰小猫可爱印花 弹力花边圆领正肩白色短袖T恤女夏</t>
        </is>
      </c>
      <c r="E121" s="9" t="inlineStr">
        <is>
          <t>小猫印花白色T恤</t>
        </is>
      </c>
      <c r="F121" s="8" t="inlineStr">
        <is>
          <t>M</t>
        </is>
      </c>
      <c r="G121" s="10" t="n">
        <v>198</v>
      </c>
      <c r="H121" s="21" t="n">
        <v>3</v>
      </c>
      <c r="I121" s="58" t="n">
        <v>3</v>
      </c>
      <c r="J121" s="64">
        <f>MAX(I121-H121,0)</f>
        <v/>
      </c>
      <c r="K121" s="67" t="inlineStr">
        <is>
          <t>https://img.alicdn.com/bao/uploaded/i3/2217590670593/O1CN01pjwUET1GFdvIbTXoT_!!2217590670593.jpg</t>
        </is>
      </c>
      <c r="L121" s="66" t="n"/>
    </row>
    <row r="122" ht="17" customHeight="1">
      <c r="A122" s="4" t="n">
        <v>119</v>
      </c>
      <c r="B122" s="4" t="inlineStr">
        <is>
          <t>NTF0307C-S</t>
        </is>
      </c>
      <c r="C122" s="4" t="inlineStr">
        <is>
          <t>NTF0307</t>
        </is>
      </c>
      <c r="D122" s="5" t="inlineStr">
        <is>
          <t>扭捏niunie 玫瑰小猫可爱印花 弹力花边圆领正肩白色短袖T恤女夏</t>
        </is>
      </c>
      <c r="E122" s="5" t="inlineStr">
        <is>
          <t>小猫印花白色T恤</t>
        </is>
      </c>
      <c r="F122" s="4" t="inlineStr">
        <is>
          <t>S</t>
        </is>
      </c>
      <c r="G122" s="6" t="n">
        <v>198</v>
      </c>
      <c r="H122" s="21" t="n">
        <v>7</v>
      </c>
      <c r="I122" s="58" t="n">
        <v>3</v>
      </c>
      <c r="J122" s="64">
        <f>MAX(I122-H122,0)</f>
        <v/>
      </c>
      <c r="K122" s="65" t="inlineStr">
        <is>
          <t>https://img.alicdn.com/bao/uploaded/i3/2217590670593/O1CN01pjwUET1GFdvIbTXoT_!!2217590670593.jpg</t>
        </is>
      </c>
      <c r="L122" s="66" t="n"/>
    </row>
    <row r="123" ht="17" customHeight="1">
      <c r="A123" s="8" t="n">
        <v>120</v>
      </c>
      <c r="B123" s="8" t="inlineStr">
        <is>
          <t>NTF-0322-L</t>
        </is>
      </c>
      <c r="C123" s="8" t="inlineStr">
        <is>
          <t>NTF-0322</t>
        </is>
      </c>
      <c r="D123" s="9" t="inlineStr">
        <is>
          <t>扭捏niunie 原创醋酸缎感 法式浪漫气质印花荡领吊带连衣裙短款夏</t>
        </is>
      </c>
      <c r="E123" s="9" t="inlineStr">
        <is>
          <t>荡领吊带印花连衣裙</t>
        </is>
      </c>
      <c r="F123" s="8" t="inlineStr">
        <is>
          <t>L</t>
        </is>
      </c>
      <c r="G123" s="10" t="n">
        <v>588</v>
      </c>
      <c r="H123" s="21" t="n">
        <v>15</v>
      </c>
      <c r="I123" s="58" t="n">
        <v>3</v>
      </c>
      <c r="J123" s="64">
        <f>MAX(I123-H123,0)</f>
        <v/>
      </c>
      <c r="K123" s="67" t="inlineStr">
        <is>
          <t>https://img.alicdn.com/bao/uploaded/i1/2217590670593/O1CN01XOHQx81GFdvFKfO81_!!2217590670593.jpg</t>
        </is>
      </c>
      <c r="L123" s="66" t="n"/>
    </row>
    <row r="124" ht="17" customHeight="1">
      <c r="A124" s="4" t="n">
        <v>121</v>
      </c>
      <c r="B124" s="4" t="inlineStr">
        <is>
          <t>NTF-0322-M</t>
        </is>
      </c>
      <c r="C124" s="4" t="inlineStr">
        <is>
          <t>NTF-0322</t>
        </is>
      </c>
      <c r="D124" s="5" t="inlineStr">
        <is>
          <t>扭捏niunie 原创醋酸缎感 法式浪漫气质印花荡领吊带连衣裙短款夏</t>
        </is>
      </c>
      <c r="E124" s="5" t="inlineStr">
        <is>
          <t>荡领吊带印花连衣裙</t>
        </is>
      </c>
      <c r="F124" s="4" t="inlineStr">
        <is>
          <t>M</t>
        </is>
      </c>
      <c r="G124" s="6" t="n">
        <v>588</v>
      </c>
      <c r="H124" s="21" t="n">
        <v>15</v>
      </c>
      <c r="I124" s="58" t="n">
        <v>3</v>
      </c>
      <c r="J124" s="64">
        <f>MAX(I124-H124,0)</f>
        <v/>
      </c>
      <c r="K124" s="65" t="inlineStr">
        <is>
          <t>https://img.alicdn.com/bao/uploaded/i1/2217590670593/O1CN01XOHQx81GFdvFKfO81_!!2217590670593.jpg</t>
        </is>
      </c>
      <c r="L124" s="66" t="n"/>
    </row>
    <row r="125" ht="17" customHeight="1">
      <c r="A125" s="8" t="n">
        <v>122</v>
      </c>
      <c r="B125" s="8" t="inlineStr">
        <is>
          <t>NTF-0322-S</t>
        </is>
      </c>
      <c r="C125" s="8" t="inlineStr">
        <is>
          <t>NTF-0322</t>
        </is>
      </c>
      <c r="D125" s="9" t="inlineStr">
        <is>
          <t>扭捏niunie 原创醋酸缎感 法式浪漫气质印花荡领吊带连衣裙短款夏</t>
        </is>
      </c>
      <c r="E125" s="9" t="inlineStr">
        <is>
          <t>荡领吊带印花连衣裙</t>
        </is>
      </c>
      <c r="F125" s="8" t="inlineStr">
        <is>
          <t>S</t>
        </is>
      </c>
      <c r="G125" s="10" t="n">
        <v>588</v>
      </c>
      <c r="H125" s="21" t="n">
        <v>14</v>
      </c>
      <c r="I125" s="58" t="n">
        <v>3</v>
      </c>
      <c r="J125" s="64">
        <f>MAX(I125-H125,0)</f>
        <v/>
      </c>
      <c r="K125" s="67" t="inlineStr">
        <is>
          <t>https://img.alicdn.com/bao/uploaded/i1/2217590670593/O1CN01XOHQx81GFdvFKfO81_!!2217590670593.jpg</t>
        </is>
      </c>
      <c r="L125" s="66" t="n"/>
    </row>
    <row r="126" ht="17" customHeight="1">
      <c r="A126" s="4" t="n">
        <v>123</v>
      </c>
      <c r="B126" s="4" t="inlineStr">
        <is>
          <t>NN-2505-L</t>
        </is>
      </c>
      <c r="C126" s="4" t="inlineStr">
        <is>
          <t>NN-2505</t>
        </is>
      </c>
      <c r="D126" s="5" t="inlineStr">
        <is>
          <t>扭捏niunie 彩线格子蓝色纱边 自然日系艺术感宽松棉麻中长半身裙</t>
        </is>
      </c>
      <c r="E126" s="5" t="inlineStr">
        <is>
          <t>彩线格子半身裙</t>
        </is>
      </c>
      <c r="F126" s="4" t="inlineStr">
        <is>
          <t>L</t>
        </is>
      </c>
      <c r="G126" s="6" t="n">
        <v>528</v>
      </c>
      <c r="H126" s="21" t="n">
        <v>15</v>
      </c>
      <c r="I126" s="58" t="n">
        <v>3</v>
      </c>
      <c r="J126" s="64">
        <f>MAX(I126-H126,0)</f>
        <v/>
      </c>
      <c r="K126" s="65" t="inlineStr">
        <is>
          <t>https://img.alicdn.com/bao/uploaded/i1/2217590670593/O1CN01SUUgBd1GFdvIJuDc8_!!2217590670593.jpg</t>
        </is>
      </c>
      <c r="L126" s="66" t="n"/>
    </row>
    <row r="127" ht="17" customHeight="1">
      <c r="A127" s="8" t="n">
        <v>124</v>
      </c>
      <c r="B127" s="8" t="inlineStr">
        <is>
          <t>NN-2505-M</t>
        </is>
      </c>
      <c r="C127" s="8" t="inlineStr">
        <is>
          <t>NN-2505</t>
        </is>
      </c>
      <c r="D127" s="9" t="inlineStr">
        <is>
          <t>扭捏niunie 彩线格子蓝色纱边 自然日系艺术感宽松棉麻中长半身裙</t>
        </is>
      </c>
      <c r="E127" s="9" t="inlineStr">
        <is>
          <t>彩线格子半身裙</t>
        </is>
      </c>
      <c r="F127" s="8" t="inlineStr">
        <is>
          <t>M</t>
        </is>
      </c>
      <c r="G127" s="10" t="n">
        <v>528</v>
      </c>
      <c r="H127" s="21" t="n">
        <v>15</v>
      </c>
      <c r="I127" s="58" t="n">
        <v>3</v>
      </c>
      <c r="J127" s="64">
        <f>MAX(I127-H127,0)</f>
        <v/>
      </c>
      <c r="K127" s="67" t="inlineStr">
        <is>
          <t>https://img.alicdn.com/bao/uploaded/i1/2217590670593/O1CN01SUUgBd1GFdvIJuDc8_!!2217590670593.jpg</t>
        </is>
      </c>
      <c r="L127" s="66" t="n"/>
    </row>
    <row r="128" ht="17" customHeight="1">
      <c r="A128" s="4" t="n">
        <v>125</v>
      </c>
      <c r="B128" s="4" t="inlineStr">
        <is>
          <t>NN-2505-S</t>
        </is>
      </c>
      <c r="C128" s="4" t="inlineStr">
        <is>
          <t>NN-2505</t>
        </is>
      </c>
      <c r="D128" s="5" t="inlineStr">
        <is>
          <t>扭捏niunie 彩线格子蓝色纱边 自然日系艺术感宽松棉麻中长半身裙</t>
        </is>
      </c>
      <c r="E128" s="5" t="inlineStr">
        <is>
          <t>彩线格子半身裙</t>
        </is>
      </c>
      <c r="F128" s="4" t="inlineStr">
        <is>
          <t>S</t>
        </is>
      </c>
      <c r="G128" s="6" t="n">
        <v>528</v>
      </c>
      <c r="H128" s="21" t="n">
        <v>15</v>
      </c>
      <c r="I128" s="58" t="n">
        <v>3</v>
      </c>
      <c r="J128" s="64">
        <f>MAX(I128-H128,0)</f>
        <v/>
      </c>
      <c r="K128" s="65" t="inlineStr">
        <is>
          <t>https://img.alicdn.com/bao/uploaded/i1/2217590670593/O1CN01SUUgBd1GFdvIJuDc8_!!2217590670593.jpg</t>
        </is>
      </c>
      <c r="L128" s="66" t="n"/>
    </row>
    <row r="129" ht="17" customHeight="1">
      <c r="A129" s="8" t="n">
        <v>126</v>
      </c>
      <c r="B129" s="8" t="inlineStr">
        <is>
          <t>NN-2508-L</t>
        </is>
      </c>
      <c r="C129" s="8" t="inlineStr">
        <is>
          <t>NN-2508</t>
        </is>
      </c>
      <c r="D129" s="9" t="inlineStr">
        <is>
          <t>扭捏niunie 复古直筒裤 米黄色花朵刺绣宽松百搭休闲长裤春夏</t>
        </is>
      </c>
      <c r="E129" s="9" t="inlineStr">
        <is>
          <t>米黄色刺绣长裤</t>
        </is>
      </c>
      <c r="F129" s="8" t="inlineStr">
        <is>
          <t>L</t>
        </is>
      </c>
      <c r="G129" s="10" t="n">
        <v>388</v>
      </c>
      <c r="H129" s="21" t="n">
        <v>0</v>
      </c>
      <c r="I129" s="58" t="n">
        <v>3</v>
      </c>
      <c r="J129" s="64">
        <f>MAX(I129-H129,0)</f>
        <v/>
      </c>
      <c r="K129" s="67" t="inlineStr">
        <is>
          <t>https://img.alicdn.com/bao/uploaded/i2/2217590670593/O1CN01D6jZtM1GFdvGTOTj9_!!2217590670593.jpg</t>
        </is>
      </c>
      <c r="L129" s="66" t="n"/>
    </row>
    <row r="130" ht="17" customHeight="1">
      <c r="A130" s="4" t="n">
        <v>127</v>
      </c>
      <c r="B130" s="4" t="inlineStr">
        <is>
          <t>NN-2508-M</t>
        </is>
      </c>
      <c r="C130" s="4" t="inlineStr">
        <is>
          <t>NN-2508</t>
        </is>
      </c>
      <c r="D130" s="5" t="inlineStr">
        <is>
          <t>扭捏niunie 复古直筒裤 米黄色花朵刺绣宽松百搭休闲长裤春夏</t>
        </is>
      </c>
      <c r="E130" s="5" t="inlineStr">
        <is>
          <t>米黄色刺绣长裤</t>
        </is>
      </c>
      <c r="F130" s="4" t="inlineStr">
        <is>
          <t>S</t>
        </is>
      </c>
      <c r="G130" s="6" t="n">
        <v>388</v>
      </c>
      <c r="H130" s="21" t="n">
        <v>15</v>
      </c>
      <c r="I130" s="58" t="n">
        <v>3</v>
      </c>
      <c r="J130" s="64">
        <f>MAX(I130-H130,0)</f>
        <v/>
      </c>
      <c r="K130" s="65" t="inlineStr">
        <is>
          <t>https://img.alicdn.com/bao/uploaded/i2/2217590670593/O1CN01D6jZtM1GFdvGTOTj9_!!2217590670593.jpg</t>
        </is>
      </c>
      <c r="L130" s="66" t="n"/>
    </row>
    <row r="131" ht="17" customHeight="1">
      <c r="A131" s="8" t="n">
        <v>128</v>
      </c>
      <c r="B131" s="8" t="inlineStr">
        <is>
          <t>NN-2508-S</t>
        </is>
      </c>
      <c r="C131" s="8" t="inlineStr">
        <is>
          <t>NN-2508</t>
        </is>
      </c>
      <c r="D131" s="9" t="inlineStr">
        <is>
          <t>扭捏niunie 复古直筒裤 米黄色花朵刺绣宽松百搭休闲长裤春夏</t>
        </is>
      </c>
      <c r="E131" s="9" t="inlineStr">
        <is>
          <t>米黄色刺绣长裤</t>
        </is>
      </c>
      <c r="F131" s="8" t="inlineStr">
        <is>
          <t>M</t>
        </is>
      </c>
      <c r="G131" s="10" t="n">
        <v>388</v>
      </c>
      <c r="H131" s="21" t="n">
        <v>14</v>
      </c>
      <c r="I131" s="58" t="n">
        <v>3</v>
      </c>
      <c r="J131" s="64">
        <f>MAX(I131-H131,0)</f>
        <v/>
      </c>
      <c r="K131" s="67" t="inlineStr">
        <is>
          <t>https://img.alicdn.com/bao/uploaded/i2/2217590670593/O1CN01D6jZtM1GFdvGTOTj9_!!2217590670593.jpg</t>
        </is>
      </c>
      <c r="L131" s="66" t="n"/>
    </row>
    <row r="132" ht="17" customHeight="1">
      <c r="A132" s="4" t="n">
        <v>129</v>
      </c>
      <c r="B132" s="4" t="inlineStr">
        <is>
          <t>NN-2502-M</t>
        </is>
      </c>
      <c r="C132" s="4" t="inlineStr">
        <is>
          <t>NN-2502</t>
        </is>
      </c>
      <c r="D132" s="5" t="inlineStr">
        <is>
          <t>扭捏niunie 复古vintage宽松绑带木耳花边 紫色纯棉格子连衣裙夏</t>
        </is>
      </c>
      <c r="E132" s="5" t="inlineStr">
        <is>
          <t>紫色格子连衣裙</t>
        </is>
      </c>
      <c r="F132" s="4" t="inlineStr">
        <is>
          <t>M</t>
        </is>
      </c>
      <c r="G132" s="6" t="n">
        <v>588</v>
      </c>
      <c r="H132" s="21" t="n">
        <v>20</v>
      </c>
      <c r="I132" s="58" t="n">
        <v>3</v>
      </c>
      <c r="J132" s="64">
        <f>MAX(I132-H132,0)</f>
        <v/>
      </c>
      <c r="K132" s="65" t="inlineStr">
        <is>
          <t>https://img.alicdn.com/bao/uploaded/i2/2217590670593/O1CN01vOjUH81GFdvEnZliX_!!2217590670593.jpg</t>
        </is>
      </c>
      <c r="L132" s="66" t="n"/>
    </row>
    <row r="133" ht="17" customHeight="1">
      <c r="A133" s="8" t="n">
        <v>130</v>
      </c>
      <c r="B133" s="8" t="inlineStr">
        <is>
          <t>NN-2502-S</t>
        </is>
      </c>
      <c r="C133" s="8" t="inlineStr">
        <is>
          <t>NN-2502</t>
        </is>
      </c>
      <c r="D133" s="9" t="inlineStr">
        <is>
          <t>扭捏niunie 复古vintage宽松绑带木耳花边 紫色纯棉格子连衣裙夏</t>
        </is>
      </c>
      <c r="E133" s="9" t="inlineStr">
        <is>
          <t>紫色格子连衣裙</t>
        </is>
      </c>
      <c r="F133" s="8" t="inlineStr">
        <is>
          <t>S</t>
        </is>
      </c>
      <c r="G133" s="10" t="n">
        <v>588</v>
      </c>
      <c r="H133" s="21" t="n">
        <v>20</v>
      </c>
      <c r="I133" s="58" t="n">
        <v>3</v>
      </c>
      <c r="J133" s="64">
        <f>MAX(I133-H133,0)</f>
        <v/>
      </c>
      <c r="K133" s="67" t="inlineStr">
        <is>
          <t>https://img.alicdn.com/bao/uploaded/i2/2217590670593/O1CN01vOjUH81GFdvEnZliX_!!2217590670593.jpg</t>
        </is>
      </c>
      <c r="L133" s="66" t="n"/>
    </row>
    <row r="134" ht="17" customHeight="1">
      <c r="A134" s="4" t="n">
        <v>131</v>
      </c>
      <c r="B134" s="4" t="inlineStr">
        <is>
          <t>NN-2509-L</t>
        </is>
      </c>
      <c r="C134" s="4" t="inlineStr">
        <is>
          <t>NN-2509</t>
        </is>
      </c>
      <c r="D134" s="5" t="inlineStr">
        <is>
          <t>扭捏niunie 植物系重工刺绣背后绑带复古苎麻短袖衬衫 原创设计</t>
        </is>
      </c>
      <c r="E134" s="5" t="inlineStr">
        <is>
          <t>植物刺绣背后绑带衬衫</t>
        </is>
      </c>
      <c r="F134" s="4" t="inlineStr">
        <is>
          <t>L</t>
        </is>
      </c>
      <c r="G134" s="6" t="n">
        <v>468</v>
      </c>
      <c r="H134" s="21" t="n">
        <v>17</v>
      </c>
      <c r="I134" s="58" t="n">
        <v>3</v>
      </c>
      <c r="J134" s="64">
        <f>MAX(I134-H134,0)</f>
        <v/>
      </c>
      <c r="K134" s="65" t="inlineStr">
        <is>
          <t>https://img.alicdn.com/bao/uploaded/i2/2217590670593/O1CN01ddArXZ1GFdvH5SIAc_!!2217590670593.jpg</t>
        </is>
      </c>
      <c r="L134" s="66" t="n"/>
    </row>
    <row r="135" ht="17" customHeight="1">
      <c r="A135" s="8" t="n">
        <v>132</v>
      </c>
      <c r="B135" s="8" t="inlineStr">
        <is>
          <t>NN-2509-M</t>
        </is>
      </c>
      <c r="C135" s="8" t="inlineStr">
        <is>
          <t>NN-2509</t>
        </is>
      </c>
      <c r="D135" s="9" t="inlineStr">
        <is>
          <t>扭捏niunie 植物系重工刺绣背后绑带复古苎麻短袖衬衫 原创设计</t>
        </is>
      </c>
      <c r="E135" s="9" t="inlineStr">
        <is>
          <t>植物刺绣背后绑带衬衫</t>
        </is>
      </c>
      <c r="F135" s="8" t="inlineStr">
        <is>
          <t>M</t>
        </is>
      </c>
      <c r="G135" s="10" t="n">
        <v>468</v>
      </c>
      <c r="H135" s="21" t="n">
        <v>13</v>
      </c>
      <c r="I135" s="58" t="n">
        <v>3</v>
      </c>
      <c r="J135" s="64">
        <f>MAX(I135-H135,0)</f>
        <v/>
      </c>
      <c r="K135" s="67" t="inlineStr">
        <is>
          <t>https://img.alicdn.com/bao/uploaded/i2/2217590670593/O1CN01ddArXZ1GFdvH5SIAc_!!2217590670593.jpg</t>
        </is>
      </c>
      <c r="L135" s="66" t="n"/>
    </row>
    <row r="136" ht="17" customHeight="1">
      <c r="A136" s="4" t="n">
        <v>133</v>
      </c>
      <c r="B136" s="4" t="inlineStr">
        <is>
          <t>NN-2509-S</t>
        </is>
      </c>
      <c r="C136" s="4" t="inlineStr">
        <is>
          <t>NN-2509</t>
        </is>
      </c>
      <c r="D136" s="5" t="inlineStr">
        <is>
          <t>扭捏niunie 植物系重工刺绣背后绑带复古苎麻短袖衬衫 原创设计</t>
        </is>
      </c>
      <c r="E136" s="5" t="inlineStr">
        <is>
          <t>植物刺绣背后绑带衬衫</t>
        </is>
      </c>
      <c r="F136" s="4" t="inlineStr">
        <is>
          <t>S</t>
        </is>
      </c>
      <c r="G136" s="6" t="n">
        <v>468</v>
      </c>
      <c r="H136" s="21" t="n">
        <v>8</v>
      </c>
      <c r="I136" s="58" t="n">
        <v>3</v>
      </c>
      <c r="J136" s="64">
        <f>MAX(I136-H136,0)</f>
        <v/>
      </c>
      <c r="K136" s="65" t="inlineStr">
        <is>
          <t>https://img.alicdn.com/bao/uploaded/i2/2217590670593/O1CN01ddArXZ1GFdvH5SIAc_!!2217590670593.jpg</t>
        </is>
      </c>
      <c r="L136" s="66" t="n"/>
    </row>
    <row r="137" ht="17" customHeight="1">
      <c r="A137" s="8" t="n">
        <v>134</v>
      </c>
      <c r="B137" s="8" t="inlineStr">
        <is>
          <t>NN-0905P-M</t>
        </is>
      </c>
      <c r="C137" s="8" t="inlineStr">
        <is>
          <t>NN-0905</t>
        </is>
      </c>
      <c r="D137" s="9" t="inlineStr">
        <is>
          <t>扭捏niunie 绿色紫色苎麻天丝 双层含棉内衬 松紧腰短裤夏季新款</t>
        </is>
      </c>
      <c r="E137" s="9" t="inlineStr">
        <is>
          <t>紫色苎麻天丝短裤</t>
        </is>
      </c>
      <c r="F137" s="8" t="inlineStr">
        <is>
          <t>M</t>
        </is>
      </c>
      <c r="G137" s="10" t="n">
        <v>338</v>
      </c>
      <c r="H137" s="21" t="n">
        <v>12</v>
      </c>
      <c r="I137" s="58" t="n">
        <v>3</v>
      </c>
      <c r="J137" s="64">
        <f>MAX(I137-H137,0)</f>
        <v/>
      </c>
      <c r="K137" s="67" t="inlineStr">
        <is>
          <t>https://img.alicdn.com/bao/uploaded/i2/2217590670593/O1CN01KMf8nT1GFdvGWLEXg_!!2217590670593.jpg</t>
        </is>
      </c>
      <c r="L137" s="66" t="n"/>
    </row>
    <row r="138" ht="17" customHeight="1">
      <c r="A138" s="4" t="n">
        <v>135</v>
      </c>
      <c r="B138" s="4" t="inlineStr">
        <is>
          <t>NN-0905P-S</t>
        </is>
      </c>
      <c r="C138" s="4" t="inlineStr">
        <is>
          <t>NN-0905</t>
        </is>
      </c>
      <c r="D138" s="5" t="inlineStr">
        <is>
          <t>扭捏niunie 绿色紫色苎麻天丝 双层含棉内衬 松紧腰短裤夏季新款</t>
        </is>
      </c>
      <c r="E138" s="5" t="inlineStr">
        <is>
          <t>紫色苎麻天丝短裤</t>
        </is>
      </c>
      <c r="F138" s="4" t="inlineStr">
        <is>
          <t>S</t>
        </is>
      </c>
      <c r="G138" s="6" t="n">
        <v>338</v>
      </c>
      <c r="H138" s="21" t="n">
        <v>11</v>
      </c>
      <c r="I138" s="58" t="n">
        <v>3</v>
      </c>
      <c r="J138" s="64">
        <f>MAX(I138-H138,0)</f>
        <v/>
      </c>
      <c r="K138" s="65" t="inlineStr">
        <is>
          <t>https://img.alicdn.com/bao/uploaded/i2/2217590670593/O1CN01KMf8nT1GFdvGWLEXg_!!2217590670593.jpg</t>
        </is>
      </c>
      <c r="L138" s="66" t="n"/>
    </row>
    <row r="139" ht="17" customHeight="1">
      <c r="A139" s="8" t="n">
        <v>136</v>
      </c>
      <c r="B139" s="8" t="inlineStr">
        <is>
          <t>NN-0905G-M</t>
        </is>
      </c>
      <c r="C139" s="8" t="inlineStr">
        <is>
          <t>NN-0905</t>
        </is>
      </c>
      <c r="D139" s="9" t="inlineStr">
        <is>
          <t>扭捏niunie 绿色紫色苎麻天丝 双层含棉内衬 松紧腰短裤夏季新款</t>
        </is>
      </c>
      <c r="E139" s="9" t="inlineStr">
        <is>
          <t>绿色苎麻天丝短裤</t>
        </is>
      </c>
      <c r="F139" s="8" t="inlineStr">
        <is>
          <t>M</t>
        </is>
      </c>
      <c r="G139" s="10" t="n">
        <v>338</v>
      </c>
      <c r="H139" s="21" t="n">
        <v>9</v>
      </c>
      <c r="I139" s="58" t="n">
        <v>3</v>
      </c>
      <c r="J139" s="64">
        <f>MAX(I139-H139,0)</f>
        <v/>
      </c>
      <c r="K139" s="67" t="inlineStr">
        <is>
          <t>https://img.alicdn.com/bao/uploaded/i2/2217590670593/O1CN01Lv8v0A1GFdvGIMw4T_!!2217590670593.jpg</t>
        </is>
      </c>
      <c r="L139" s="66" t="n"/>
    </row>
    <row r="140" ht="17" customHeight="1">
      <c r="A140" s="4" t="n">
        <v>137</v>
      </c>
      <c r="B140" s="4" t="inlineStr">
        <is>
          <t>NN-0905G-S</t>
        </is>
      </c>
      <c r="C140" s="4" t="inlineStr">
        <is>
          <t>NN-0905</t>
        </is>
      </c>
      <c r="D140" s="5" t="inlineStr">
        <is>
          <t>扭捏niunie 绿色紫色苎麻天丝 双层含棉内衬 松紧腰短裤夏季新款</t>
        </is>
      </c>
      <c r="E140" s="5" t="inlineStr">
        <is>
          <t>绿色苎麻天丝短裤</t>
        </is>
      </c>
      <c r="F140" s="4" t="inlineStr">
        <is>
          <t>S</t>
        </is>
      </c>
      <c r="G140" s="6" t="n">
        <v>338</v>
      </c>
      <c r="H140" s="21" t="n">
        <v>11</v>
      </c>
      <c r="I140" s="58" t="n">
        <v>3</v>
      </c>
      <c r="J140" s="64">
        <f>MAX(I140-H140,0)</f>
        <v/>
      </c>
      <c r="K140" s="65" t="inlineStr">
        <is>
          <t>https://img.alicdn.com/bao/uploaded/i2/2217590670593/O1CN01Lv8v0A1GFdvGIMw4T_!!2217590670593.jpg</t>
        </is>
      </c>
      <c r="L140" s="66" t="n"/>
    </row>
    <row r="141" ht="17" customHeight="1">
      <c r="A141" s="8" t="n">
        <v>138</v>
      </c>
      <c r="B141" s="8" t="inlineStr">
        <is>
          <t>NN-2516-L</t>
        </is>
      </c>
      <c r="C141" s="8" t="inlineStr">
        <is>
          <t>NN-2516</t>
        </is>
      </c>
      <c r="D141" s="9" t="inlineStr">
        <is>
          <t>扭捏niunie 桑蚕丝真丝棉双层木耳花边领子贝壳扣 轻薄款黑色衬衫</t>
        </is>
      </c>
      <c r="E141" s="9" t="inlineStr">
        <is>
          <t>桑蚕丝棉黑色衬衫</t>
        </is>
      </c>
      <c r="F141" s="8" t="inlineStr">
        <is>
          <t>L</t>
        </is>
      </c>
      <c r="G141" s="10" t="n">
        <v>398</v>
      </c>
      <c r="H141" s="21" t="n">
        <v>6</v>
      </c>
      <c r="I141" s="58" t="n">
        <v>3</v>
      </c>
      <c r="J141" s="64">
        <f>MAX(I141-H141,0)</f>
        <v/>
      </c>
      <c r="K141" s="67" t="inlineStr">
        <is>
          <t>https://img.alicdn.com/bao/uploaded/i1/2217590670593/O1CN01zjcnfh1GFdvH903hA_!!2217590670593.jpg</t>
        </is>
      </c>
      <c r="L141" s="66" t="n"/>
    </row>
    <row r="142" ht="17" customHeight="1">
      <c r="A142" s="4" t="n">
        <v>139</v>
      </c>
      <c r="B142" s="4" t="inlineStr">
        <is>
          <t>NN-2516-M</t>
        </is>
      </c>
      <c r="C142" s="4" t="inlineStr">
        <is>
          <t>NN-2516</t>
        </is>
      </c>
      <c r="D142" s="5" t="inlineStr">
        <is>
          <t>扭捏niunie 桑蚕丝真丝棉双层木耳花边领子贝壳扣 轻薄款黑色衬衫</t>
        </is>
      </c>
      <c r="E142" s="5" t="inlineStr">
        <is>
          <t>桑蚕丝棉黑色衬衫</t>
        </is>
      </c>
      <c r="F142" s="4" t="inlineStr">
        <is>
          <t>M</t>
        </is>
      </c>
      <c r="G142" s="6" t="n">
        <v>398</v>
      </c>
      <c r="H142" s="21" t="n">
        <v>3</v>
      </c>
      <c r="I142" s="58" t="n">
        <v>3</v>
      </c>
      <c r="J142" s="64">
        <f>MAX(I142-H142,0)</f>
        <v/>
      </c>
      <c r="K142" s="65" t="inlineStr">
        <is>
          <t>https://img.alicdn.com/bao/uploaded/i1/2217590670593/O1CN01zjcnfh1GFdvH903hA_!!2217590670593.jpg</t>
        </is>
      </c>
      <c r="L142" s="66" t="n"/>
    </row>
    <row r="143" ht="17" customHeight="1">
      <c r="A143" s="8" t="n">
        <v>140</v>
      </c>
      <c r="B143" s="8" t="inlineStr">
        <is>
          <t>NN-2516-S</t>
        </is>
      </c>
      <c r="C143" s="8" t="inlineStr">
        <is>
          <t>NN-2516</t>
        </is>
      </c>
      <c r="D143" s="9" t="inlineStr">
        <is>
          <t>扭捏niunie 桑蚕丝真丝棉双层木耳花边领子贝壳扣 轻薄款黑色衬衫</t>
        </is>
      </c>
      <c r="E143" s="9" t="inlineStr">
        <is>
          <t>桑蚕丝棉黑色衬衫</t>
        </is>
      </c>
      <c r="F143" s="8" t="inlineStr">
        <is>
          <t>S</t>
        </is>
      </c>
      <c r="G143" s="10" t="n">
        <v>398</v>
      </c>
      <c r="H143" s="21" t="n">
        <v>6</v>
      </c>
      <c r="I143" s="58" t="n">
        <v>3</v>
      </c>
      <c r="J143" s="64">
        <f>MAX(I143-H143,0)</f>
        <v/>
      </c>
      <c r="K143" s="67" t="inlineStr">
        <is>
          <t>https://img.alicdn.com/bao/uploaded/i1/2217590670593/O1CN01zjcnfh1GFdvH903hA_!!2217590670593.jpg</t>
        </is>
      </c>
      <c r="L143" s="66" t="n"/>
    </row>
    <row r="144" ht="17" customHeight="1">
      <c r="A144" s="4" t="n">
        <v>141</v>
      </c>
      <c r="B144" s="4" t="inlineStr">
        <is>
          <t>NN2512L</t>
        </is>
      </c>
      <c r="C144" s="4" t="inlineStr">
        <is>
          <t>NN-2512</t>
        </is>
      </c>
      <c r="D144" s="5" t="inlineStr">
        <is>
          <t>扭捏niunie「只此青绿」印花长款大裙摆设计感宽松慵懒半身裙纱裙</t>
        </is>
      </c>
      <c r="E144" s="5" t="inlineStr">
        <is>
          <t>只此青绿印花半裙</t>
        </is>
      </c>
      <c r="F144" s="4" t="inlineStr">
        <is>
          <t>L</t>
        </is>
      </c>
      <c r="G144" s="6" t="n">
        <v>398</v>
      </c>
      <c r="H144" s="21" t="n">
        <v>6</v>
      </c>
      <c r="I144" s="58" t="n">
        <v>3</v>
      </c>
      <c r="J144" s="64">
        <f>MAX(I144-H144,0)</f>
        <v/>
      </c>
      <c r="K144" s="65" t="inlineStr">
        <is>
          <t>https://img.alicdn.com/bao/uploaded/i3/2217590670593/O1CN01kWTIAF1GFduxLilgD_!!2217590670593.jpg</t>
        </is>
      </c>
      <c r="L144" s="66" t="n"/>
    </row>
    <row r="145" ht="17" customHeight="1">
      <c r="A145" s="8" t="n">
        <v>142</v>
      </c>
      <c r="B145" s="8" t="inlineStr">
        <is>
          <t>NN2512M</t>
        </is>
      </c>
      <c r="C145" s="8" t="inlineStr">
        <is>
          <t>NN-2512</t>
        </is>
      </c>
      <c r="D145" s="9" t="inlineStr">
        <is>
          <t>扭捏niunie「只此青绿」印花长款大裙摆设计感宽松慵懒半身裙纱裙</t>
        </is>
      </c>
      <c r="E145" s="9" t="inlineStr">
        <is>
          <t>只此青绿印花半裙</t>
        </is>
      </c>
      <c r="F145" s="8" t="inlineStr">
        <is>
          <t>M</t>
        </is>
      </c>
      <c r="G145" s="10" t="n">
        <v>398</v>
      </c>
      <c r="H145" s="21" t="n">
        <v>4</v>
      </c>
      <c r="I145" s="58" t="n">
        <v>3</v>
      </c>
      <c r="J145" s="64">
        <f>MAX(I145-H145,0)</f>
        <v/>
      </c>
      <c r="K145" s="67" t="inlineStr">
        <is>
          <t>https://img.alicdn.com/bao/uploaded/i3/2217590670593/O1CN01kWTIAF1GFduxLilgD_!!2217590670593.jpg</t>
        </is>
      </c>
      <c r="L145" s="66" t="n"/>
    </row>
    <row r="146" ht="17" customHeight="1">
      <c r="A146" s="4" t="n">
        <v>143</v>
      </c>
      <c r="B146" s="4" t="inlineStr">
        <is>
          <t>NN2512S</t>
        </is>
      </c>
      <c r="C146" s="4" t="inlineStr">
        <is>
          <t>NN-2512</t>
        </is>
      </c>
      <c r="D146" s="5" t="inlineStr">
        <is>
          <t>扭捏niunie「只此青绿」印花长款大裙摆设计感宽松慵懒半身裙纱裙</t>
        </is>
      </c>
      <c r="E146" s="5" t="inlineStr">
        <is>
          <t>只此青绿印花半裙</t>
        </is>
      </c>
      <c r="F146" s="4" t="inlineStr">
        <is>
          <t>S</t>
        </is>
      </c>
      <c r="G146" s="6" t="n">
        <v>398</v>
      </c>
      <c r="H146" s="21" t="n">
        <v>2</v>
      </c>
      <c r="I146" s="58" t="n">
        <v>3</v>
      </c>
      <c r="J146" s="64">
        <f>MAX(I146-H146,0)</f>
        <v/>
      </c>
      <c r="K146" s="65" t="inlineStr">
        <is>
          <t>https://img.alicdn.com/bao/uploaded/i3/2217590670593/O1CN01kWTIAF1GFduxLilgD_!!2217590670593.jpg</t>
        </is>
      </c>
      <c r="L146" s="66" t="n"/>
    </row>
    <row r="147" ht="17" customHeight="1">
      <c r="A147" s="8" t="n">
        <v>144</v>
      </c>
      <c r="B147" s="8" t="inlineStr">
        <is>
          <t>NN2511L</t>
        </is>
      </c>
      <c r="C147" s="8" t="inlineStr">
        <is>
          <t>NN-2511</t>
        </is>
      </c>
      <c r="D147" s="9" t="inlineStr">
        <is>
          <t>扭捏niunie「掠影」小众设计感风琴褶皱贝壳扣印花衬衫宽松上衣</t>
        </is>
      </c>
      <c r="E147" s="9" t="inlineStr">
        <is>
          <t>风琴褶印花衬衫</t>
        </is>
      </c>
      <c r="F147" s="8" t="inlineStr">
        <is>
          <t>L</t>
        </is>
      </c>
      <c r="G147" s="10" t="n">
        <v>398</v>
      </c>
      <c r="H147" s="21" t="n">
        <v>4</v>
      </c>
      <c r="I147" s="58" t="n">
        <v>3</v>
      </c>
      <c r="J147" s="64">
        <f>MAX(I147-H147,0)</f>
        <v/>
      </c>
      <c r="K147" s="67" t="inlineStr">
        <is>
          <t>https://img.alicdn.com/bao/uploaded/i3/2217590670593/O1CN01iwN4oi1GFduwJEaQd_!!2217590670593.jpg</t>
        </is>
      </c>
      <c r="L147" s="66" t="n"/>
    </row>
    <row r="148" ht="17" customHeight="1">
      <c r="A148" s="4" t="n">
        <v>145</v>
      </c>
      <c r="B148" s="4" t="inlineStr">
        <is>
          <t>NN2511M</t>
        </is>
      </c>
      <c r="C148" s="4" t="inlineStr">
        <is>
          <t>NN-2511</t>
        </is>
      </c>
      <c r="D148" s="5" t="inlineStr">
        <is>
          <t>扭捏niunie「掠影」小众设计感风琴褶皱贝壳扣印花衬衫宽松上衣</t>
        </is>
      </c>
      <c r="E148" s="5" t="inlineStr">
        <is>
          <t>风琴褶印花衬衫</t>
        </is>
      </c>
      <c r="F148" s="4" t="inlineStr">
        <is>
          <t>M</t>
        </is>
      </c>
      <c r="G148" s="6" t="n">
        <v>398</v>
      </c>
      <c r="H148" s="21" t="n">
        <v>4</v>
      </c>
      <c r="I148" s="58" t="n">
        <v>3</v>
      </c>
      <c r="J148" s="64">
        <f>MAX(I148-H148,0)</f>
        <v/>
      </c>
      <c r="K148" s="65" t="inlineStr">
        <is>
          <t>https://img.alicdn.com/bao/uploaded/i3/2217590670593/O1CN01iwN4oi1GFduwJEaQd_!!2217590670593.jpg</t>
        </is>
      </c>
      <c r="L148" s="66" t="n"/>
    </row>
    <row r="149" ht="17" customHeight="1">
      <c r="A149" s="8" t="n">
        <v>146</v>
      </c>
      <c r="B149" s="8" t="inlineStr">
        <is>
          <t>NN2511S</t>
        </is>
      </c>
      <c r="C149" s="8" t="inlineStr">
        <is>
          <t>NN-2511</t>
        </is>
      </c>
      <c r="D149" s="9" t="inlineStr">
        <is>
          <t>扭捏niunie「掠影」小众设计感风琴褶皱贝壳扣印花衬衫宽松上衣</t>
        </is>
      </c>
      <c r="E149" s="9" t="inlineStr">
        <is>
          <t>风琴褶印花衬衫</t>
        </is>
      </c>
      <c r="F149" s="8" t="inlineStr">
        <is>
          <t>S</t>
        </is>
      </c>
      <c r="G149" s="10" t="n">
        <v>398</v>
      </c>
      <c r="H149" s="21" t="n">
        <v>3</v>
      </c>
      <c r="I149" s="58" t="n">
        <v>3</v>
      </c>
      <c r="J149" s="64">
        <f>MAX(I149-H149,0)</f>
        <v/>
      </c>
      <c r="K149" s="67" t="inlineStr">
        <is>
          <t>https://img.alicdn.com/bao/uploaded/i3/2217590670593/O1CN01iwN4oi1GFduwJEaQd_!!2217590670593.jpg</t>
        </is>
      </c>
      <c r="L149" s="66" t="n"/>
    </row>
    <row r="150" ht="17" customHeight="1">
      <c r="A150" s="4" t="n">
        <v>147</v>
      </c>
      <c r="B150" s="4" t="inlineStr">
        <is>
          <t>NN2510L</t>
        </is>
      </c>
      <c r="C150" s="4" t="inlineStr">
        <is>
          <t>NN-2510</t>
        </is>
      </c>
      <c r="D150" s="5" t="inlineStr">
        <is>
          <t>扭捏niunie「海盐柠檬」手缝扣拼接彩色格子半身裙宽松A字裙女</t>
        </is>
      </c>
      <c r="E150" s="5" t="inlineStr">
        <is>
          <t>手缝扣格子半身裙</t>
        </is>
      </c>
      <c r="F150" s="4" t="inlineStr">
        <is>
          <t>L</t>
        </is>
      </c>
      <c r="G150" s="6" t="n">
        <v>568</v>
      </c>
      <c r="H150" s="21" t="n">
        <v>4</v>
      </c>
      <c r="I150" s="58" t="n">
        <v>3</v>
      </c>
      <c r="J150" s="64">
        <f>MAX(I150-H150,0)</f>
        <v/>
      </c>
      <c r="K150" s="65" t="inlineStr">
        <is>
          <t>https://img.alicdn.com/bao/uploaded/i3/2217590670593/O1CN01fTxw9U1GFdv3M4DtH_!!2217590670593.jpg</t>
        </is>
      </c>
      <c r="L150" s="66" t="n"/>
    </row>
    <row r="151" ht="17" customHeight="1">
      <c r="A151" s="8" t="n">
        <v>148</v>
      </c>
      <c r="B151" s="8" t="inlineStr">
        <is>
          <t>NN2510M</t>
        </is>
      </c>
      <c r="C151" s="8" t="inlineStr">
        <is>
          <t>NN-2510</t>
        </is>
      </c>
      <c r="D151" s="9" t="inlineStr">
        <is>
          <t>扭捏niunie「海盐柠檬」手缝扣拼接彩色格子半身裙宽松A字裙女</t>
        </is>
      </c>
      <c r="E151" s="9" t="inlineStr">
        <is>
          <t>手缝扣格子半身裙</t>
        </is>
      </c>
      <c r="F151" s="8" t="inlineStr">
        <is>
          <t>M</t>
        </is>
      </c>
      <c r="G151" s="10" t="n">
        <v>568</v>
      </c>
      <c r="H151" s="21" t="n">
        <v>1</v>
      </c>
      <c r="I151" s="58" t="n">
        <v>3</v>
      </c>
      <c r="J151" s="64">
        <f>MAX(I151-H151,0)</f>
        <v/>
      </c>
      <c r="K151" s="67" t="inlineStr">
        <is>
          <t>https://img.alicdn.com/bao/uploaded/i3/2217590670593/O1CN01fTxw9U1GFdv3M4DtH_!!2217590670593.jpg</t>
        </is>
      </c>
      <c r="L151" s="66" t="n"/>
    </row>
    <row r="152" ht="17" customHeight="1">
      <c r="A152" s="4" t="n">
        <v>149</v>
      </c>
      <c r="B152" s="4" t="inlineStr">
        <is>
          <t>NN2510S</t>
        </is>
      </c>
      <c r="C152" s="4" t="inlineStr">
        <is>
          <t>NN-2510</t>
        </is>
      </c>
      <c r="D152" s="5" t="inlineStr">
        <is>
          <t>扭捏niunie「海盐柠檬」手缝扣拼接彩色格子半身裙宽松A字裙女</t>
        </is>
      </c>
      <c r="E152" s="5" t="inlineStr">
        <is>
          <t>手缝扣格子半身裙</t>
        </is>
      </c>
      <c r="F152" s="4" t="inlineStr">
        <is>
          <t>S</t>
        </is>
      </c>
      <c r="G152" s="6" t="n">
        <v>568</v>
      </c>
      <c r="H152" s="21" t="n">
        <v>0</v>
      </c>
      <c r="I152" s="58" t="n">
        <v>3</v>
      </c>
      <c r="J152" s="64">
        <f>MAX(I152-H152,0)</f>
        <v/>
      </c>
      <c r="K152" s="65" t="inlineStr">
        <is>
          <t>https://img.alicdn.com/bao/uploaded/i3/2217590670593/O1CN01fTxw9U1GFdv3M4DtH_!!2217590670593.jpg</t>
        </is>
      </c>
      <c r="L152" s="66" t="n"/>
    </row>
    <row r="153" ht="17" customHeight="1">
      <c r="A153" s="8" t="n">
        <v>150</v>
      </c>
      <c r="B153" s="8" t="inlineStr">
        <is>
          <t>NN251BL</t>
        </is>
      </c>
      <c r="C153" s="8" t="inlineStr">
        <is>
          <t>NN-251B</t>
        </is>
      </c>
      <c r="D153" s="9" t="inlineStr">
        <is>
          <t>扭捏niunie「夏雪」浅蓝色大摆纱裙灵动百搭半身裙伞裙夏季新款</t>
        </is>
      </c>
      <c r="E153" s="9" t="inlineStr">
        <is>
          <t>浅蓝色雪花纱裙</t>
        </is>
      </c>
      <c r="F153" s="8" t="inlineStr">
        <is>
          <t>L</t>
        </is>
      </c>
      <c r="G153" s="10" t="n">
        <v>498</v>
      </c>
      <c r="H153" s="21" t="n">
        <v>0</v>
      </c>
      <c r="I153" s="58" t="n">
        <v>3</v>
      </c>
      <c r="J153" s="64">
        <f>MAX(I153-H153,0)</f>
        <v/>
      </c>
      <c r="K153" s="67" t="inlineStr">
        <is>
          <t>https://img.alicdn.com/bao/uploaded/i3/2217590670593/O1CN01ikfzTQ1GFdupzS8As_!!2217590670593.jpg</t>
        </is>
      </c>
      <c r="L153" s="66" t="n"/>
    </row>
    <row r="154" ht="17" customHeight="1">
      <c r="A154" s="4" t="n">
        <v>151</v>
      </c>
      <c r="B154" s="4" t="inlineStr">
        <is>
          <t>NN251BM</t>
        </is>
      </c>
      <c r="C154" s="4" t="inlineStr">
        <is>
          <t>NN-251B</t>
        </is>
      </c>
      <c r="D154" s="5" t="inlineStr">
        <is>
          <t>扭捏niunie「夏雪」浅蓝色大摆纱裙灵动百搭半身裙伞裙夏季新款</t>
        </is>
      </c>
      <c r="E154" s="5" t="inlineStr">
        <is>
          <t>浅蓝色雪花纱裙</t>
        </is>
      </c>
      <c r="F154" s="4" t="inlineStr">
        <is>
          <t>M</t>
        </is>
      </c>
      <c r="G154" s="6" t="n">
        <v>498</v>
      </c>
      <c r="H154" s="21" t="n">
        <v>0</v>
      </c>
      <c r="I154" s="58" t="n">
        <v>3</v>
      </c>
      <c r="J154" s="64">
        <f>MAX(I154-H154,0)</f>
        <v/>
      </c>
      <c r="K154" s="65" t="inlineStr">
        <is>
          <t>https://img.alicdn.com/bao/uploaded/i3/2217590670593/O1CN01ikfzTQ1GFdupzS8As_!!2217590670593.jpg</t>
        </is>
      </c>
      <c r="L154" s="66" t="n"/>
    </row>
    <row r="155" ht="17" customHeight="1">
      <c r="A155" s="8" t="n">
        <v>152</v>
      </c>
      <c r="B155" s="8" t="inlineStr">
        <is>
          <t>NN251BS</t>
        </is>
      </c>
      <c r="C155" s="8" t="inlineStr">
        <is>
          <t>NN-251B</t>
        </is>
      </c>
      <c r="D155" s="9" t="inlineStr">
        <is>
          <t>扭捏niunie「夏雪」浅蓝色大摆纱裙灵动百搭半身裙伞裙夏季新款</t>
        </is>
      </c>
      <c r="E155" s="9" t="inlineStr">
        <is>
          <t>浅蓝色雪花纱裙</t>
        </is>
      </c>
      <c r="F155" s="8" t="inlineStr">
        <is>
          <t>S</t>
        </is>
      </c>
      <c r="G155" s="10" t="n">
        <v>498</v>
      </c>
      <c r="H155" s="21" t="n">
        <v>0</v>
      </c>
      <c r="I155" s="58" t="n">
        <v>3</v>
      </c>
      <c r="J155" s="64">
        <f>MAX(I155-H155,0)</f>
        <v/>
      </c>
      <c r="K155" s="67" t="inlineStr">
        <is>
          <t>https://img.alicdn.com/bao/uploaded/i3/2217590670593/O1CN01ikfzTQ1GFdupzS8As_!!2217590670593.jpg</t>
        </is>
      </c>
      <c r="L155" s="66" t="n"/>
    </row>
    <row r="156" ht="17" customHeight="1">
      <c r="A156" s="4" t="n">
        <v>153</v>
      </c>
      <c r="B156" s="4" t="inlineStr">
        <is>
          <t>NN2517L</t>
        </is>
      </c>
      <c r="C156" s="4" t="inlineStr">
        <is>
          <t>NN-2517</t>
        </is>
      </c>
      <c r="D156" s="5" t="inlineStr">
        <is>
          <t>扭捏niunie 小雪花翻领设计感简约气质高级感白色无袖衬衫上衣女</t>
        </is>
      </c>
      <c r="E156" s="5" t="inlineStr">
        <is>
          <t>白色雪花无袖衬衫</t>
        </is>
      </c>
      <c r="F156" s="4" t="inlineStr">
        <is>
          <t>L</t>
        </is>
      </c>
      <c r="G156" s="6" t="n">
        <v>428</v>
      </c>
      <c r="H156" s="21" t="n">
        <v>4</v>
      </c>
      <c r="I156" s="58" t="n">
        <v>3</v>
      </c>
      <c r="J156" s="64">
        <f>MAX(I156-H156,0)</f>
        <v/>
      </c>
      <c r="K156" s="65" t="inlineStr">
        <is>
          <t>https://img.alicdn.com/bao/uploaded/i2/2217590670593/O1CN01tiG55f1GFduxTzyep_!!2217590670593.jpg</t>
        </is>
      </c>
      <c r="L156" s="66" t="n"/>
    </row>
    <row r="157" ht="17" customHeight="1">
      <c r="A157" s="8" t="n">
        <v>154</v>
      </c>
      <c r="B157" s="8" t="inlineStr">
        <is>
          <t>NN2517M</t>
        </is>
      </c>
      <c r="C157" s="8" t="inlineStr">
        <is>
          <t>NN-2517</t>
        </is>
      </c>
      <c r="D157" s="9" t="inlineStr">
        <is>
          <t>扭捏niunie 小雪花翻领设计感简约气质高级感白色无袖衬衫上衣女</t>
        </is>
      </c>
      <c r="E157" s="9" t="inlineStr">
        <is>
          <t>白色雪花无袖衬衫</t>
        </is>
      </c>
      <c r="F157" s="8" t="inlineStr">
        <is>
          <t>M</t>
        </is>
      </c>
      <c r="G157" s="10" t="n">
        <v>428</v>
      </c>
      <c r="H157" s="21" t="n">
        <v>7</v>
      </c>
      <c r="I157" s="58" t="n">
        <v>3</v>
      </c>
      <c r="J157" s="64">
        <f>MAX(I157-H157,0)</f>
        <v/>
      </c>
      <c r="K157" s="67" t="inlineStr">
        <is>
          <t>https://img.alicdn.com/bao/uploaded/i2/2217590670593/O1CN01tiG55f1GFduxTzyep_!!2217590670593.jpg</t>
        </is>
      </c>
      <c r="L157" s="66" t="n"/>
    </row>
    <row r="158" ht="17" customHeight="1">
      <c r="A158" s="4" t="n">
        <v>155</v>
      </c>
      <c r="B158" s="4" t="inlineStr">
        <is>
          <t>NN2517S</t>
        </is>
      </c>
      <c r="C158" s="4" t="inlineStr">
        <is>
          <t>NN-2517</t>
        </is>
      </c>
      <c r="D158" s="5" t="inlineStr">
        <is>
          <t>扭捏niunie 小雪花翻领设计感简约气质高级感白色无袖衬衫上衣女</t>
        </is>
      </c>
      <c r="E158" s="5" t="inlineStr">
        <is>
          <t>白色雪花无袖衬衫</t>
        </is>
      </c>
      <c r="F158" s="4" t="inlineStr">
        <is>
          <t>S</t>
        </is>
      </c>
      <c r="G158" s="6" t="n">
        <v>428</v>
      </c>
      <c r="H158" s="21" t="n">
        <v>3</v>
      </c>
      <c r="I158" s="58" t="n">
        <v>3</v>
      </c>
      <c r="J158" s="64">
        <f>MAX(I158-H158,0)</f>
        <v/>
      </c>
      <c r="K158" s="65" t="inlineStr">
        <is>
          <t>https://img.alicdn.com/bao/uploaded/i2/2217590670593/O1CN01tiG55f1GFduxTzyep_!!2217590670593.jpg</t>
        </is>
      </c>
      <c r="L158" s="66" t="n"/>
    </row>
    <row r="159" ht="17" customHeight="1">
      <c r="A159" s="8" t="n">
        <v>156</v>
      </c>
      <c r="B159" s="8" t="inlineStr">
        <is>
          <t>NN2513M</t>
        </is>
      </c>
      <c r="C159" s="8" t="inlineStr">
        <is>
          <t>NN-2513</t>
        </is>
      </c>
      <c r="D159" s="9" t="inlineStr">
        <is>
          <t>niunie 青苹果印花绿色醋酸褶皱两面穿显瘦松紧腰半身裙小a一步裙</t>
        </is>
      </c>
      <c r="E159" s="9" t="inlineStr">
        <is>
          <t>青苹果 醋酸两面穿半裙</t>
        </is>
      </c>
      <c r="F159" s="8" t="inlineStr">
        <is>
          <t>M</t>
        </is>
      </c>
      <c r="G159" s="10" t="n">
        <v>468</v>
      </c>
      <c r="H159" s="21" t="n">
        <v>7</v>
      </c>
      <c r="I159" s="58" t="n">
        <v>3</v>
      </c>
      <c r="J159" s="64">
        <f>MAX(I159-H159,0)</f>
        <v/>
      </c>
      <c r="K159" s="67" t="inlineStr">
        <is>
          <t>https://img.alicdn.com/bao/uploaded/i3/2217590670593/O1CN01DS26yS1GFdv48J8SF_!!2217590670593.jpg</t>
        </is>
      </c>
      <c r="L159" s="66" t="n"/>
    </row>
    <row r="160" ht="17" customHeight="1">
      <c r="A160" s="4" t="n">
        <v>157</v>
      </c>
      <c r="B160" s="4" t="inlineStr">
        <is>
          <t>NN2513S</t>
        </is>
      </c>
      <c r="C160" s="4" t="inlineStr">
        <is>
          <t>NN-2513</t>
        </is>
      </c>
      <c r="D160" s="5" t="inlineStr">
        <is>
          <t>niunie 青苹果印花绿色醋酸褶皱两面穿显瘦松紧腰半身裙小a一步裙</t>
        </is>
      </c>
      <c r="E160" s="5" t="inlineStr">
        <is>
          <t>青苹果 醋酸两面穿半裙</t>
        </is>
      </c>
      <c r="F160" s="4" t="inlineStr">
        <is>
          <t>S</t>
        </is>
      </c>
      <c r="G160" s="6" t="n">
        <v>468</v>
      </c>
      <c r="H160" s="21" t="n">
        <v>0</v>
      </c>
      <c r="I160" s="58" t="n">
        <v>3</v>
      </c>
      <c r="J160" s="64">
        <f>MAX(I160-H160,0)</f>
        <v/>
      </c>
      <c r="K160" s="65" t="inlineStr">
        <is>
          <t>https://img.alicdn.com/bao/uploaded/i3/2217590670593/O1CN01DS26yS1GFdv48J8SF_!!2217590670593.jpg</t>
        </is>
      </c>
      <c r="L160" s="66" t="n"/>
    </row>
    <row r="161" ht="17" customHeight="1">
      <c r="A161" s="8" t="n">
        <v>158</v>
      </c>
      <c r="B161" s="8" t="inlineStr"/>
      <c r="C161" s="8" t="inlineStr">
        <is>
          <t>TNW-1008-1066</t>
        </is>
      </c>
      <c r="D161" s="9" t="inlineStr">
        <is>
          <t>扭捏 限量款 羊毛亚麻混纺西装外套 日本进口面料</t>
        </is>
      </c>
      <c r="E161" s="9" t="inlineStr">
        <is>
          <t>羊毛亚麻西装外套</t>
        </is>
      </c>
      <c r="F161" s="8" t="inlineStr">
        <is>
          <t>L</t>
        </is>
      </c>
      <c r="G161" s="10" t="n">
        <v>899</v>
      </c>
      <c r="H161" s="21" t="n">
        <v>0</v>
      </c>
      <c r="I161" s="58" t="n">
        <v>3</v>
      </c>
      <c r="J161" s="64">
        <f>MAX(I161-H161,0)</f>
        <v/>
      </c>
      <c r="K161" s="67" t="inlineStr">
        <is>
          <t>https://img.alicdn.com/bao/uploaded/i4/2217590670593/O1CN01Ovfj1T1GFdsPe8L4t_!!2217590670593.jpg</t>
        </is>
      </c>
      <c r="L161" s="66" t="n"/>
    </row>
    <row r="162" ht="17" customHeight="1">
      <c r="A162" s="4" t="n">
        <v>159</v>
      </c>
      <c r="B162" s="4" t="inlineStr"/>
      <c r="C162" s="4" t="inlineStr">
        <is>
          <t>TNW-1008-1066</t>
        </is>
      </c>
      <c r="D162" s="5" t="inlineStr">
        <is>
          <t>扭捏 限量款 羊毛亚麻混纺西装外套 日本进口面料</t>
        </is>
      </c>
      <c r="E162" s="5" t="inlineStr">
        <is>
          <t>羊毛亚麻西装外套</t>
        </is>
      </c>
      <c r="F162" s="4" t="inlineStr">
        <is>
          <t>M</t>
        </is>
      </c>
      <c r="G162" s="6" t="n">
        <v>899</v>
      </c>
      <c r="H162" s="21" t="n">
        <v>3</v>
      </c>
      <c r="I162" s="58" t="n">
        <v>3</v>
      </c>
      <c r="J162" s="64">
        <f>MAX(I162-H162,0)</f>
        <v/>
      </c>
      <c r="K162" s="65" t="inlineStr">
        <is>
          <t>https://img.alicdn.com/bao/uploaded/i4/2217590670593/O1CN01Ovfj1T1GFdsPe8L4t_!!2217590670593.jpg</t>
        </is>
      </c>
      <c r="L162" s="66" t="n"/>
    </row>
    <row r="163" ht="17" customHeight="1">
      <c r="A163" s="8" t="n">
        <v>160</v>
      </c>
      <c r="B163" s="8" t="inlineStr"/>
      <c r="C163" s="8" t="inlineStr">
        <is>
          <t>TNW-1008-1066</t>
        </is>
      </c>
      <c r="D163" s="9" t="inlineStr">
        <is>
          <t>扭捏 限量款 羊毛亚麻混纺西装外套 日本进口面料</t>
        </is>
      </c>
      <c r="E163" s="9" t="inlineStr">
        <is>
          <t>羊毛亚麻西装外套</t>
        </is>
      </c>
      <c r="F163" s="8" t="inlineStr">
        <is>
          <t>S</t>
        </is>
      </c>
      <c r="G163" s="10" t="n">
        <v>899</v>
      </c>
      <c r="H163" s="21" t="n">
        <v>3</v>
      </c>
      <c r="I163" s="58" t="n">
        <v>3</v>
      </c>
      <c r="J163" s="64">
        <f>MAX(I163-H163,0)</f>
        <v/>
      </c>
      <c r="K163" s="67" t="inlineStr">
        <is>
          <t>https://img.alicdn.com/bao/uploaded/i4/2217590670593/O1CN01Ovfj1T1GFdsPe8L4t_!!2217590670593.jpg</t>
        </is>
      </c>
      <c r="L163" s="66" t="n"/>
    </row>
    <row r="164" ht="17" customHeight="1">
      <c r="A164" s="4" t="n">
        <v>161</v>
      </c>
      <c r="B164" s="4" t="inlineStr">
        <is>
          <t>TNW-1066-灰格L</t>
        </is>
      </c>
      <c r="C164" s="4" t="inlineStr">
        <is>
          <t>TNW-1066</t>
        </is>
      </c>
      <c r="D164" s="5" t="inlineStr">
        <is>
          <t>扭捏 灰色羊毛混纺 复古vintage感棕色格子短裙百褶裙秋冬</t>
        </is>
      </c>
      <c r="E164" s="5" t="inlineStr">
        <is>
          <t>灰色毛呢短裙</t>
        </is>
      </c>
      <c r="F164" s="4" t="inlineStr">
        <is>
          <t>L</t>
        </is>
      </c>
      <c r="G164" s="6" t="n">
        <v>319</v>
      </c>
      <c r="H164" s="21" t="n">
        <v>3</v>
      </c>
      <c r="I164" s="58" t="n">
        <v>3</v>
      </c>
      <c r="J164" s="64">
        <f>MAX(I164-H164,0)</f>
        <v/>
      </c>
      <c r="K164" s="65" t="inlineStr">
        <is>
          <t>https://img.alicdn.com/bao/uploaded/i1/2217590670593/O1CN01x0hiMl1GFdsYTf1jo_!!2217590670593.jpg</t>
        </is>
      </c>
      <c r="L164" s="66" t="n"/>
    </row>
    <row r="165" ht="17" customHeight="1">
      <c r="A165" s="8" t="n">
        <v>162</v>
      </c>
      <c r="B165" s="8" t="inlineStr">
        <is>
          <t>TNW-1066-棕格L</t>
        </is>
      </c>
      <c r="C165" s="8" t="inlineStr">
        <is>
          <t>TNW-1066</t>
        </is>
      </c>
      <c r="D165" s="9" t="inlineStr">
        <is>
          <t>扭捏 灰色羊毛混纺 复古vintage感棕色格子短裙百褶裙秋冬</t>
        </is>
      </c>
      <c r="E165" s="9" t="inlineStr">
        <is>
          <t>棕色格子短裙</t>
        </is>
      </c>
      <c r="F165" s="8" t="inlineStr">
        <is>
          <t>L</t>
        </is>
      </c>
      <c r="G165" s="10" t="n">
        <v>319</v>
      </c>
      <c r="H165" s="21" t="n">
        <v>19</v>
      </c>
      <c r="I165" s="58" t="n">
        <v>3</v>
      </c>
      <c r="J165" s="64">
        <f>MAX(I165-H165,0)</f>
        <v/>
      </c>
      <c r="K165" s="67" t="inlineStr">
        <is>
          <t>https://img.alicdn.com/bao/uploaded/i4/2217590670593/O1CN01eRpCI51GFdsVenbHc_!!2217590670593.jpg</t>
        </is>
      </c>
      <c r="L165" s="66" t="n"/>
    </row>
    <row r="166" ht="17" customHeight="1">
      <c r="A166" s="4" t="n">
        <v>163</v>
      </c>
      <c r="B166" s="4" t="inlineStr">
        <is>
          <t>TNW-1011-灰M</t>
        </is>
      </c>
      <c r="C166" s="4" t="inlineStr">
        <is>
          <t>TNW-1011</t>
        </is>
      </c>
      <c r="D166" s="5" t="inlineStr">
        <is>
          <t>扭捏 宽松舒适羊毛混纺休闲裤 复古松弛感高腰阔腿长裤 可机洗</t>
        </is>
      </c>
      <c r="E166" s="5" t="inlineStr">
        <is>
          <t>深灰色阔腿长裤</t>
        </is>
      </c>
      <c r="F166" s="4" t="inlineStr">
        <is>
          <t>M</t>
        </is>
      </c>
      <c r="G166" s="6" t="n">
        <v>359</v>
      </c>
      <c r="H166" s="21" t="n">
        <v>10</v>
      </c>
      <c r="I166" s="58" t="n">
        <v>3</v>
      </c>
      <c r="J166" s="64">
        <f>MAX(I166-H166,0)</f>
        <v/>
      </c>
      <c r="K166" s="65" t="inlineStr">
        <is>
          <t>https://img.alicdn.com/bao/uploaded/i2/2217590670593/O1CN01iX2YZ01GFdsWmirN3_!!2217590670593.jpg</t>
        </is>
      </c>
      <c r="L166" s="66" t="n"/>
    </row>
    <row r="167" ht="17" customHeight="1">
      <c r="A167" s="8" t="n">
        <v>164</v>
      </c>
      <c r="B167" s="8" t="inlineStr">
        <is>
          <t>TNW-1011-灰S</t>
        </is>
      </c>
      <c r="C167" s="8" t="inlineStr">
        <is>
          <t>TNW-1011</t>
        </is>
      </c>
      <c r="D167" s="9" t="inlineStr">
        <is>
          <t>扭捏 宽松舒适羊毛混纺休闲裤 复古松弛感高腰阔腿长裤 可机洗</t>
        </is>
      </c>
      <c r="E167" s="9" t="inlineStr">
        <is>
          <t>深灰色阔腿长裤</t>
        </is>
      </c>
      <c r="F167" s="8" t="inlineStr">
        <is>
          <t>S</t>
        </is>
      </c>
      <c r="G167" s="10" t="n">
        <v>359</v>
      </c>
      <c r="H167" s="21" t="n">
        <v>10</v>
      </c>
      <c r="I167" s="58" t="n">
        <v>3</v>
      </c>
      <c r="J167" s="64">
        <f>MAX(I167-H167,0)</f>
        <v/>
      </c>
      <c r="K167" s="67" t="inlineStr">
        <is>
          <t>https://img.alicdn.com/bao/uploaded/i2/2217590670593/O1CN01iX2YZ01GFdsWmirN3_!!2217590670593.jpg</t>
        </is>
      </c>
      <c r="L167" s="66" t="n"/>
    </row>
    <row r="168" ht="17" customHeight="1">
      <c r="A168" s="4" t="n">
        <v>165</v>
      </c>
      <c r="B168" s="4" t="inlineStr">
        <is>
          <t>TNW-1066-灰格M</t>
        </is>
      </c>
      <c r="C168" s="4" t="inlineStr">
        <is>
          <t>TNW-1066</t>
        </is>
      </c>
      <c r="D168" s="5" t="inlineStr">
        <is>
          <t>扭捏 灰色羊毛混纺 复古vintage感棕色格子短裙百褶裙秋冬</t>
        </is>
      </c>
      <c r="E168" s="5" t="inlineStr">
        <is>
          <t>灰色毛呢短裙</t>
        </is>
      </c>
      <c r="F168" s="4" t="inlineStr">
        <is>
          <t>M</t>
        </is>
      </c>
      <c r="G168" s="6" t="n">
        <v>319</v>
      </c>
      <c r="H168" s="21" t="n">
        <v>3</v>
      </c>
      <c r="I168" s="58" t="n">
        <v>3</v>
      </c>
      <c r="J168" s="64">
        <f>MAX(I168-H168,0)</f>
        <v/>
      </c>
      <c r="K168" s="65" t="inlineStr">
        <is>
          <t>https://img.alicdn.com/bao/uploaded/i1/2217590670593/O1CN01x0hiMl1GFdsYTf1jo_!!2217590670593.jpg</t>
        </is>
      </c>
      <c r="L168" s="66" t="n"/>
    </row>
    <row r="169" ht="17" customHeight="1">
      <c r="A169" s="8" t="n">
        <v>166</v>
      </c>
      <c r="B169" s="8" t="inlineStr">
        <is>
          <t>TNW-1066-灰格S</t>
        </is>
      </c>
      <c r="C169" s="8" t="inlineStr">
        <is>
          <t>TNW-1066</t>
        </is>
      </c>
      <c r="D169" s="9" t="inlineStr">
        <is>
          <t>扭捏 灰色羊毛混纺 复古vintage感棕色格子短裙百褶裙秋冬</t>
        </is>
      </c>
      <c r="E169" s="9" t="inlineStr">
        <is>
          <t>灰色毛呢短裙</t>
        </is>
      </c>
      <c r="F169" s="8" t="inlineStr">
        <is>
          <t>S</t>
        </is>
      </c>
      <c r="G169" s="10" t="n">
        <v>319</v>
      </c>
      <c r="H169" s="21" t="n">
        <v>3</v>
      </c>
      <c r="I169" s="58" t="n">
        <v>3</v>
      </c>
      <c r="J169" s="64">
        <f>MAX(I169-H169,0)</f>
        <v/>
      </c>
      <c r="K169" s="67" t="inlineStr">
        <is>
          <t>https://img.alicdn.com/bao/uploaded/i1/2217590670593/O1CN01x0hiMl1GFdsYTf1jo_!!2217590670593.jpg</t>
        </is>
      </c>
      <c r="L169" s="66" t="n"/>
    </row>
    <row r="170" ht="17" customHeight="1">
      <c r="A170" s="4" t="n">
        <v>167</v>
      </c>
      <c r="B170" s="4" t="inlineStr">
        <is>
          <t>TNW-1066-棕格M</t>
        </is>
      </c>
      <c r="C170" s="4" t="inlineStr">
        <is>
          <t>TNW-1066</t>
        </is>
      </c>
      <c r="D170" s="5" t="inlineStr">
        <is>
          <t>扭捏 灰色羊毛混纺 复古vintage感棕色格子短裙百褶裙秋冬</t>
        </is>
      </c>
      <c r="E170" s="5" t="inlineStr">
        <is>
          <t>棕色格子短裙</t>
        </is>
      </c>
      <c r="F170" s="4" t="inlineStr">
        <is>
          <t>M</t>
        </is>
      </c>
      <c r="G170" s="6" t="n">
        <v>319</v>
      </c>
      <c r="H170" s="21" t="n">
        <v>10</v>
      </c>
      <c r="I170" s="58" t="n">
        <v>3</v>
      </c>
      <c r="J170" s="64">
        <f>MAX(I170-H170,0)</f>
        <v/>
      </c>
      <c r="K170" s="65" t="inlineStr">
        <is>
          <t>https://img.alicdn.com/bao/uploaded/i4/2217590670593/O1CN01eRpCI51GFdsVenbHc_!!2217590670593.jpg</t>
        </is>
      </c>
      <c r="L170" s="66" t="n"/>
    </row>
    <row r="171" ht="17" customHeight="1">
      <c r="A171" s="8" t="n">
        <v>168</v>
      </c>
      <c r="B171" s="8" t="inlineStr">
        <is>
          <t>TNW-1066-棕格S</t>
        </is>
      </c>
      <c r="C171" s="8" t="inlineStr">
        <is>
          <t>TNW-1066</t>
        </is>
      </c>
      <c r="D171" s="9" t="inlineStr">
        <is>
          <t>扭捏 灰色羊毛混纺 复古vintage感棕色格子短裙百褶裙秋冬</t>
        </is>
      </c>
      <c r="E171" s="9" t="inlineStr">
        <is>
          <t>棕色格子短裙</t>
        </is>
      </c>
      <c r="F171" s="8" t="inlineStr">
        <is>
          <t>S</t>
        </is>
      </c>
      <c r="G171" s="10" t="n">
        <v>319</v>
      </c>
      <c r="H171" s="21" t="n">
        <v>10</v>
      </c>
      <c r="I171" s="58" t="n">
        <v>3</v>
      </c>
      <c r="J171" s="64">
        <f>MAX(I171-H171,0)</f>
        <v/>
      </c>
      <c r="K171" s="67" t="inlineStr">
        <is>
          <t>https://img.alicdn.com/bao/uploaded/i4/2217590670593/O1CN01eRpCI51GFdsVenbHc_!!2217590670593.jpg</t>
        </is>
      </c>
      <c r="L171" s="66" t="n"/>
    </row>
    <row r="172" ht="17" customHeight="1">
      <c r="A172" s="4" t="n">
        <v>169</v>
      </c>
      <c r="B172" s="4" t="inlineStr">
        <is>
          <t>TNW-1015-M</t>
        </is>
      </c>
      <c r="C172" s="4" t="inlineStr">
        <is>
          <t>TNW-1038-1015</t>
        </is>
      </c>
      <c r="D172" s="5" t="inlineStr">
        <is>
          <t>扭捏 100%全羊毛日系少女复古娃娃领外套半身裙套装 英国陶瓷扣</t>
        </is>
      </c>
      <c r="E172" s="5" t="inlineStr">
        <is>
          <t>灰色毛呢半身裙</t>
        </is>
      </c>
      <c r="F172" s="4" t="inlineStr">
        <is>
          <t>M</t>
        </is>
      </c>
      <c r="G172" s="6" t="n">
        <v>499</v>
      </c>
      <c r="H172" s="21" t="n">
        <v>6</v>
      </c>
      <c r="I172" s="58" t="n">
        <v>3</v>
      </c>
      <c r="J172" s="64">
        <f>MAX(I172-H172,0)</f>
        <v/>
      </c>
      <c r="K172" s="65" t="inlineStr">
        <is>
          <t>https://img.alicdn.com/bao/uploaded/i1/2217590670593/O1CN01ClX7Xl1GFdsW9T9YI_!!2217590670593.jpg</t>
        </is>
      </c>
      <c r="L172" s="66" t="n"/>
    </row>
    <row r="173" ht="17" customHeight="1">
      <c r="A173" s="8" t="n">
        <v>170</v>
      </c>
      <c r="B173" s="8" t="inlineStr">
        <is>
          <t>TNW-1015-S</t>
        </is>
      </c>
      <c r="C173" s="8" t="inlineStr">
        <is>
          <t>TNW-1038-1015</t>
        </is>
      </c>
      <c r="D173" s="9" t="inlineStr">
        <is>
          <t>扭捏 100%全羊毛日系少女复古娃娃领外套半身裙套装 英国陶瓷扣</t>
        </is>
      </c>
      <c r="E173" s="9" t="inlineStr">
        <is>
          <t>灰色毛呢半身裙</t>
        </is>
      </c>
      <c r="F173" s="8" t="inlineStr">
        <is>
          <t>S</t>
        </is>
      </c>
      <c r="G173" s="10" t="n">
        <v>499</v>
      </c>
      <c r="H173" s="21" t="n">
        <v>1</v>
      </c>
      <c r="I173" s="58" t="n">
        <v>3</v>
      </c>
      <c r="J173" s="64">
        <f>MAX(I173-H173,0)</f>
        <v/>
      </c>
      <c r="K173" s="67" t="inlineStr">
        <is>
          <t>https://img.alicdn.com/bao/uploaded/i1/2217590670593/O1CN01ClX7Xl1GFdsW9T9YI_!!2217590670593.jpg</t>
        </is>
      </c>
      <c r="L173" s="66" t="n"/>
    </row>
    <row r="174" ht="17" customHeight="1">
      <c r="A174" s="4" t="n">
        <v>171</v>
      </c>
      <c r="B174" s="4" t="inlineStr">
        <is>
          <t>TNW-1038-M</t>
        </is>
      </c>
      <c r="C174" s="4" t="inlineStr">
        <is>
          <t>TNW-1038-1015</t>
        </is>
      </c>
      <c r="D174" s="5" t="inlineStr">
        <is>
          <t>扭捏 100%全羊毛日系少女复古娃娃领外套半身裙套装 英国陶瓷扣</t>
        </is>
      </c>
      <c r="E174" s="5" t="inlineStr">
        <is>
          <t>娃娃领毛呢外套</t>
        </is>
      </c>
      <c r="F174" s="4" t="inlineStr">
        <is>
          <t>M</t>
        </is>
      </c>
      <c r="G174" s="6" t="n">
        <v>799</v>
      </c>
      <c r="H174" s="21" t="n">
        <v>5</v>
      </c>
      <c r="I174" s="58" t="n">
        <v>3</v>
      </c>
      <c r="J174" s="64">
        <f>MAX(I174-H174,0)</f>
        <v/>
      </c>
      <c r="K174" s="65" t="inlineStr">
        <is>
          <t>https://img.alicdn.com/bao/uploaded/i1/2217590670593/O1CN01J3sSF31GFdsaUwHmD_!!2217590670593.jpg</t>
        </is>
      </c>
      <c r="L174" s="66" t="n"/>
    </row>
    <row r="175" ht="17" customHeight="1">
      <c r="A175" s="8" t="n">
        <v>172</v>
      </c>
      <c r="B175" s="8" t="inlineStr">
        <is>
          <t>TNW-1038-S</t>
        </is>
      </c>
      <c r="C175" s="8" t="inlineStr">
        <is>
          <t>TNW-1038-1015</t>
        </is>
      </c>
      <c r="D175" s="9" t="inlineStr">
        <is>
          <t>扭捏 100%全羊毛日系少女复古娃娃领外套半身裙套装 英国陶瓷扣</t>
        </is>
      </c>
      <c r="E175" s="9" t="inlineStr">
        <is>
          <t>娃娃领毛呢外套</t>
        </is>
      </c>
      <c r="F175" s="8" t="inlineStr">
        <is>
          <t>S</t>
        </is>
      </c>
      <c r="G175" s="10" t="n">
        <v>799</v>
      </c>
      <c r="H175" s="21" t="n">
        <v>13</v>
      </c>
      <c r="I175" s="58" t="n">
        <v>3</v>
      </c>
      <c r="J175" s="64">
        <f>MAX(I175-H175,0)</f>
        <v/>
      </c>
      <c r="K175" s="67" t="inlineStr">
        <is>
          <t>https://img.alicdn.com/bao/uploaded/i1/2217590670593/O1CN01J3sSF31GFdsaUwHmD_!!2217590670593.jpg</t>
        </is>
      </c>
      <c r="L175" s="66" t="n"/>
    </row>
    <row r="176" ht="17" customHeight="1">
      <c r="A176" s="4" t="n">
        <v>173</v>
      </c>
      <c r="B176" s="4" t="inlineStr">
        <is>
          <t>TNW-0902-M</t>
        </is>
      </c>
      <c r="C176" s="4" t="inlineStr">
        <is>
          <t>TNW-0928-0902</t>
        </is>
      </c>
      <c r="D176" s="5" t="inlineStr">
        <is>
          <t>扭捏 棕绿色质感显瘦 100%全羊毛呢外套半裙</t>
        </is>
      </c>
      <c r="E176" s="5" t="inlineStr">
        <is>
          <t>双层碎花毛呢半裙</t>
        </is>
      </c>
      <c r="F176" s="4" t="inlineStr">
        <is>
          <t>M</t>
        </is>
      </c>
      <c r="G176" s="6" t="n">
        <v>459</v>
      </c>
      <c r="H176" s="21" t="n">
        <v>2</v>
      </c>
      <c r="I176" s="58" t="n">
        <v>3</v>
      </c>
      <c r="J176" s="64">
        <f>MAX(I176-H176,0)</f>
        <v/>
      </c>
      <c r="K176" s="65" t="inlineStr">
        <is>
          <t>https://img.alicdn.com/bao/uploaded/i3/2217590670593/O1CN01TKeckx1GFdscUpHg1_!!2217590670593.jpg</t>
        </is>
      </c>
      <c r="L176" s="66" t="n"/>
    </row>
    <row r="177" ht="17" customHeight="1">
      <c r="A177" s="8" t="n">
        <v>174</v>
      </c>
      <c r="B177" s="8" t="inlineStr">
        <is>
          <t>TNW-0902-S</t>
        </is>
      </c>
      <c r="C177" s="8" t="inlineStr">
        <is>
          <t>TNW-0928-0902</t>
        </is>
      </c>
      <c r="D177" s="9" t="inlineStr">
        <is>
          <t>扭捏 棕绿色质感显瘦 100%全羊毛呢外套半裙</t>
        </is>
      </c>
      <c r="E177" s="9" t="inlineStr">
        <is>
          <t>双层碎花毛呢半裙</t>
        </is>
      </c>
      <c r="F177" s="8" t="inlineStr">
        <is>
          <t>S</t>
        </is>
      </c>
      <c r="G177" s="10" t="n">
        <v>459</v>
      </c>
      <c r="H177" s="21" t="n">
        <v>2</v>
      </c>
      <c r="I177" s="58" t="n">
        <v>3</v>
      </c>
      <c r="J177" s="64">
        <f>MAX(I177-H177,0)</f>
        <v/>
      </c>
      <c r="K177" s="67" t="inlineStr">
        <is>
          <t>https://img.alicdn.com/bao/uploaded/i3/2217590670593/O1CN01TKeckx1GFdscUpHg1_!!2217590670593.jpg</t>
        </is>
      </c>
      <c r="L177" s="66" t="n"/>
    </row>
    <row r="178" ht="17" customHeight="1">
      <c r="A178" s="4" t="n">
        <v>175</v>
      </c>
      <c r="B178" s="4" t="inlineStr">
        <is>
          <t>TNW-0928-M</t>
        </is>
      </c>
      <c r="C178" s="4" t="inlineStr">
        <is>
          <t>TNW-0928-0902</t>
        </is>
      </c>
      <c r="D178" s="5" t="inlineStr">
        <is>
          <t>扭捏 棕绿色质感显瘦 100%全羊毛呢外套半裙</t>
        </is>
      </c>
      <c r="E178" s="5" t="inlineStr">
        <is>
          <t>修身毛呢外套</t>
        </is>
      </c>
      <c r="F178" s="4" t="inlineStr">
        <is>
          <t>M</t>
        </is>
      </c>
      <c r="G178" s="6" t="n">
        <v>759</v>
      </c>
      <c r="H178" s="21" t="n">
        <v>0</v>
      </c>
      <c r="I178" s="58" t="n">
        <v>3</v>
      </c>
      <c r="J178" s="64">
        <f>MAX(I178-H178,0)</f>
        <v/>
      </c>
      <c r="K178" s="65" t="inlineStr">
        <is>
          <t>https://img.alicdn.com/bao/uploaded/i1/2217590670593/O1CN01jFreBd1GFdsejACNL_!!2217590670593.jpg</t>
        </is>
      </c>
      <c r="L178" s="66" t="n"/>
    </row>
    <row r="179" ht="17" customHeight="1">
      <c r="A179" s="8" t="n">
        <v>176</v>
      </c>
      <c r="B179" s="8" t="inlineStr">
        <is>
          <t>TNW-0928-S</t>
        </is>
      </c>
      <c r="C179" s="8" t="inlineStr">
        <is>
          <t>TNW-0928-0902</t>
        </is>
      </c>
      <c r="D179" s="9" t="inlineStr">
        <is>
          <t>扭捏 棕绿色质感显瘦 100%全羊毛呢外套半裙</t>
        </is>
      </c>
      <c r="E179" s="9" t="inlineStr">
        <is>
          <t>修身毛呢外套</t>
        </is>
      </c>
      <c r="F179" s="8" t="inlineStr">
        <is>
          <t>S</t>
        </is>
      </c>
      <c r="G179" s="10" t="n">
        <v>759</v>
      </c>
      <c r="H179" s="21" t="n">
        <v>2</v>
      </c>
      <c r="I179" s="58" t="n">
        <v>3</v>
      </c>
      <c r="J179" s="64">
        <f>MAX(I179-H179,0)</f>
        <v/>
      </c>
      <c r="K179" s="67" t="inlineStr">
        <is>
          <t>https://img.alicdn.com/bao/uploaded/i1/2217590670593/O1CN01jFreBd1GFdsejACNL_!!2217590670593.jpg</t>
        </is>
      </c>
      <c r="L179" s="66" t="n"/>
    </row>
    <row r="180" ht="17" customHeight="1">
      <c r="A180" s="4" t="n">
        <v>177</v>
      </c>
      <c r="B180" s="4" t="inlineStr">
        <is>
          <t>TNW-1010-M</t>
        </is>
      </c>
      <c r="C180" s="4" t="inlineStr">
        <is>
          <t>TNW-1010</t>
        </is>
      </c>
      <c r="D180" s="5" t="inlineStr">
        <is>
          <t>扭捏 全棉提花格子碎花拼接松紧腰半身裙长裙 森系古着感</t>
        </is>
      </c>
      <c r="E180" s="5" t="inlineStr">
        <is>
          <t>拼接半身长裙</t>
        </is>
      </c>
      <c r="F180" s="4" t="inlineStr">
        <is>
          <t>M</t>
        </is>
      </c>
      <c r="G180" s="6" t="n">
        <v>439</v>
      </c>
      <c r="H180" s="21" t="n">
        <v>4</v>
      </c>
      <c r="I180" s="58" t="n">
        <v>3</v>
      </c>
      <c r="J180" s="64">
        <f>MAX(I180-H180,0)</f>
        <v/>
      </c>
      <c r="K180" s="65" t="inlineStr">
        <is>
          <t>https://img.alicdn.com/bao/uploaded/i4/2217590670593/O1CN01eVMZOI1GFdsWomFSu_!!2217590670593.jpg</t>
        </is>
      </c>
      <c r="L180" s="66" t="n"/>
    </row>
    <row r="181" ht="17" customHeight="1">
      <c r="A181" s="8" t="n">
        <v>178</v>
      </c>
      <c r="B181" s="8" t="inlineStr">
        <is>
          <t>TNW-1010-S</t>
        </is>
      </c>
      <c r="C181" s="8" t="inlineStr">
        <is>
          <t>TNW-1010</t>
        </is>
      </c>
      <c r="D181" s="9" t="inlineStr">
        <is>
          <t>扭捏 全棉提花格子碎花拼接松紧腰半身裙长裙 森系古着感</t>
        </is>
      </c>
      <c r="E181" s="9" t="inlineStr">
        <is>
          <t>拼接半身长裙</t>
        </is>
      </c>
      <c r="F181" s="8" t="inlineStr">
        <is>
          <t>S</t>
        </is>
      </c>
      <c r="G181" s="10" t="n">
        <v>439</v>
      </c>
      <c r="H181" s="21" t="n">
        <v>6</v>
      </c>
      <c r="I181" s="58" t="n">
        <v>3</v>
      </c>
      <c r="J181" s="64">
        <f>MAX(I181-H181,0)</f>
        <v/>
      </c>
      <c r="K181" s="67" t="inlineStr">
        <is>
          <t>https://img.alicdn.com/bao/uploaded/i4/2217590670593/O1CN01eVMZOI1GFdsWomFSu_!!2217590670593.jpg</t>
        </is>
      </c>
      <c r="L181" s="66" t="n"/>
    </row>
    <row r="182" ht="17" customHeight="1">
      <c r="A182" s="4" t="n">
        <v>179</v>
      </c>
      <c r="B182" s="4" t="inlineStr">
        <is>
          <t>TNW-1026-灰紫M</t>
        </is>
      </c>
      <c r="C182" s="4" t="inlineStr">
        <is>
          <t>TNW-1026</t>
        </is>
      </c>
      <c r="D182" s="5" t="inlineStr">
        <is>
          <t>扭捏 豹纹可拆卸领子灯芯绒拼接风衣式中长款外套90白鹅绒服</t>
        </is>
      </c>
      <c r="E182" s="5" t="inlineStr">
        <is>
          <t>灰紫色90白鹅绒</t>
        </is>
      </c>
      <c r="F182" s="4" t="inlineStr">
        <is>
          <t>M</t>
        </is>
      </c>
      <c r="G182" s="6" t="n">
        <v>1599</v>
      </c>
      <c r="H182" s="21" t="n">
        <v>15</v>
      </c>
      <c r="I182" s="58" t="n">
        <v>3</v>
      </c>
      <c r="J182" s="64">
        <f>MAX(I182-H182,0)</f>
        <v/>
      </c>
      <c r="K182" s="65" t="inlineStr">
        <is>
          <t>https://img.alicdn.com/bao/uploaded/i1/2217590670593/O1CN01yG94oZ1GFdsW2W2UZ_!!2217590670593.jpg</t>
        </is>
      </c>
      <c r="L182" s="66" t="n"/>
    </row>
    <row r="183" ht="17" customHeight="1">
      <c r="A183" s="8" t="n">
        <v>180</v>
      </c>
      <c r="B183" s="8" t="inlineStr">
        <is>
          <t>TNW-1026-灰紫S</t>
        </is>
      </c>
      <c r="C183" s="8" t="inlineStr">
        <is>
          <t>TNW-1026</t>
        </is>
      </c>
      <c r="D183" s="9" t="inlineStr">
        <is>
          <t>扭捏 豹纹可拆卸领子灯芯绒拼接风衣式中长款外套90白鹅绒服</t>
        </is>
      </c>
      <c r="E183" s="9" t="inlineStr">
        <is>
          <t>灰紫色90白鹅绒</t>
        </is>
      </c>
      <c r="F183" s="8" t="inlineStr">
        <is>
          <t>S</t>
        </is>
      </c>
      <c r="G183" s="10" t="n">
        <v>1599</v>
      </c>
      <c r="H183" s="21" t="n">
        <v>14</v>
      </c>
      <c r="I183" s="58" t="n">
        <v>3</v>
      </c>
      <c r="J183" s="64">
        <f>MAX(I183-H183,0)</f>
        <v/>
      </c>
      <c r="K183" s="67" t="inlineStr">
        <is>
          <t>https://img.alicdn.com/bao/uploaded/i1/2217590670593/O1CN01yG94oZ1GFdsW2W2UZ_!!2217590670593.jpg</t>
        </is>
      </c>
      <c r="L183" s="66" t="n"/>
    </row>
    <row r="184" ht="17" customHeight="1">
      <c r="A184" s="4" t="n">
        <v>181</v>
      </c>
      <c r="B184" s="4" t="inlineStr">
        <is>
          <t>TNW-1026-栗M</t>
        </is>
      </c>
      <c r="C184" s="4" t="inlineStr">
        <is>
          <t>TNW-1026</t>
        </is>
      </c>
      <c r="D184" s="5" t="inlineStr">
        <is>
          <t>扭捏 豹纹可拆卸领子灯芯绒拼接风衣式中长款外套90白鹅绒服</t>
        </is>
      </c>
      <c r="E184" s="5" t="inlineStr">
        <is>
          <t>栗色90白鹅绒服</t>
        </is>
      </c>
      <c r="F184" s="4" t="inlineStr">
        <is>
          <t>M</t>
        </is>
      </c>
      <c r="G184" s="6" t="n">
        <v>1599</v>
      </c>
      <c r="H184" s="21" t="n">
        <v>13</v>
      </c>
      <c r="I184" s="58" t="n">
        <v>3</v>
      </c>
      <c r="J184" s="64">
        <f>MAX(I184-H184,0)</f>
        <v/>
      </c>
      <c r="K184" s="65" t="inlineStr">
        <is>
          <t>https://img.alicdn.com/bao/uploaded/i4/2217590670593/O1CN012PnAfO1GFdsWUKzqM_!!2217590670593.jpg</t>
        </is>
      </c>
      <c r="L184" s="66" t="n"/>
    </row>
    <row r="185" ht="17" customHeight="1">
      <c r="A185" s="8" t="n">
        <v>182</v>
      </c>
      <c r="B185" s="8" t="inlineStr">
        <is>
          <t>TNW-1026-栗S</t>
        </is>
      </c>
      <c r="C185" s="8" t="inlineStr">
        <is>
          <t>TNW-1026</t>
        </is>
      </c>
      <c r="D185" s="9" t="inlineStr">
        <is>
          <t>扭捏 豹纹可拆卸领子灯芯绒拼接风衣式中长款外套90白鹅绒服</t>
        </is>
      </c>
      <c r="E185" s="9" t="inlineStr">
        <is>
          <t>栗色90白鹅绒服</t>
        </is>
      </c>
      <c r="F185" s="8" t="inlineStr">
        <is>
          <t>S</t>
        </is>
      </c>
      <c r="G185" s="10" t="n">
        <v>1599</v>
      </c>
      <c r="H185" s="21" t="n">
        <v>16</v>
      </c>
      <c r="I185" s="58" t="n">
        <v>3</v>
      </c>
      <c r="J185" s="64">
        <f>MAX(I185-H185,0)</f>
        <v/>
      </c>
      <c r="K185" s="67" t="inlineStr">
        <is>
          <t>https://img.alicdn.com/bao/uploaded/i4/2217590670593/O1CN012PnAfO1GFdsWUKzqM_!!2217590670593.jpg</t>
        </is>
      </c>
      <c r="L185" s="66" t="n"/>
    </row>
    <row r="186" ht="17" customHeight="1">
      <c r="A186" s="4" t="n">
        <v>183</v>
      </c>
      <c r="B186" s="4" t="inlineStr">
        <is>
          <t>TNW-1065-灰M</t>
        </is>
      </c>
      <c r="C186" s="4" t="inlineStr">
        <is>
          <t>TNW-1065</t>
        </is>
      </c>
      <c r="D186" s="5" t="inlineStr">
        <is>
          <t>扭捏 秋冬豹纹纯棉亲肤柔软保暖一字领打底衫上衣 长袖T恤 原创</t>
        </is>
      </c>
      <c r="E186" s="5" t="inlineStr">
        <is>
          <t>灰色豹纹长袖T恤</t>
        </is>
      </c>
      <c r="F186" s="4" t="inlineStr">
        <is>
          <t>M</t>
        </is>
      </c>
      <c r="G186" s="6" t="n">
        <v>319</v>
      </c>
      <c r="H186" s="21" t="n">
        <v>19</v>
      </c>
      <c r="I186" s="58" t="n">
        <v>3</v>
      </c>
      <c r="J186" s="64">
        <f>MAX(I186-H186,0)</f>
        <v/>
      </c>
      <c r="K186" s="65" t="inlineStr">
        <is>
          <t>https://img.alicdn.com/bao/uploaded/i4/2217590670593/O1CN01wJcGZl1GFdsW6QPHZ_!!2217590670593.jpg</t>
        </is>
      </c>
      <c r="L186" s="66" t="n"/>
    </row>
    <row r="187" ht="17" customHeight="1">
      <c r="A187" s="8" t="n">
        <v>184</v>
      </c>
      <c r="B187" s="8" t="inlineStr">
        <is>
          <t>TNW-1065-灰S</t>
        </is>
      </c>
      <c r="C187" s="8" t="inlineStr">
        <is>
          <t>TNW-1065</t>
        </is>
      </c>
      <c r="D187" s="9" t="inlineStr">
        <is>
          <t>扭捏 秋冬豹纹纯棉亲肤柔软保暖一字领打底衫上衣 长袖T恤 原创</t>
        </is>
      </c>
      <c r="E187" s="9" t="inlineStr">
        <is>
          <t>灰色豹纹长袖T恤</t>
        </is>
      </c>
      <c r="F187" s="8" t="inlineStr">
        <is>
          <t>S</t>
        </is>
      </c>
      <c r="G187" s="10" t="n">
        <v>319</v>
      </c>
      <c r="H187" s="21" t="n">
        <v>18</v>
      </c>
      <c r="I187" s="58" t="n">
        <v>3</v>
      </c>
      <c r="J187" s="64">
        <f>MAX(I187-H187,0)</f>
        <v/>
      </c>
      <c r="K187" s="67" t="inlineStr">
        <is>
          <t>https://img.alicdn.com/bao/uploaded/i4/2217590670593/O1CN01wJcGZl1GFdsW6QPHZ_!!2217590670593.jpg</t>
        </is>
      </c>
      <c r="L187" s="66" t="n"/>
    </row>
    <row r="188" ht="17" customHeight="1">
      <c r="A188" s="4" t="n">
        <v>185</v>
      </c>
      <c r="B188" s="4" t="inlineStr">
        <is>
          <t>TNW-1065-棕M</t>
        </is>
      </c>
      <c r="C188" s="4" t="inlineStr">
        <is>
          <t>TNW-1065</t>
        </is>
      </c>
      <c r="D188" s="5" t="inlineStr">
        <is>
          <t>扭捏 秋冬豹纹纯棉亲肤柔软保暖一字领打底衫上衣 长袖T恤 原创</t>
        </is>
      </c>
      <c r="E188" s="5" t="inlineStr">
        <is>
          <t>棕色豹纹长袖T恤</t>
        </is>
      </c>
      <c r="F188" s="4" t="inlineStr">
        <is>
          <t>M</t>
        </is>
      </c>
      <c r="G188" s="6" t="n">
        <v>319</v>
      </c>
      <c r="H188" s="21" t="n">
        <v>19</v>
      </c>
      <c r="I188" s="58" t="n">
        <v>3</v>
      </c>
      <c r="J188" s="64">
        <f>MAX(I188-H188,0)</f>
        <v/>
      </c>
      <c r="K188" s="65" t="inlineStr">
        <is>
          <t>https://img.alicdn.com/bao/uploaded/i4/2217590670593/O1CN01eRpCI51GFdsVenbHc_!!2217590670593.jpg</t>
        </is>
      </c>
      <c r="L188" s="66" t="n"/>
    </row>
    <row r="189" ht="17" customHeight="1">
      <c r="A189" s="8" t="n">
        <v>186</v>
      </c>
      <c r="B189" s="8" t="inlineStr">
        <is>
          <t>TNW-1065-棕S</t>
        </is>
      </c>
      <c r="C189" s="8" t="inlineStr">
        <is>
          <t>TNW-1065</t>
        </is>
      </c>
      <c r="D189" s="9" t="inlineStr">
        <is>
          <t>扭捏 秋冬豹纹纯棉亲肤柔软保暖一字领打底衫上衣 长袖T恤 原创</t>
        </is>
      </c>
      <c r="E189" s="9" t="inlineStr">
        <is>
          <t>棕色豹纹长袖T恤</t>
        </is>
      </c>
      <c r="F189" s="8" t="inlineStr">
        <is>
          <t>S</t>
        </is>
      </c>
      <c r="G189" s="10" t="n">
        <v>319</v>
      </c>
      <c r="H189" s="21" t="n">
        <v>19</v>
      </c>
      <c r="I189" s="58" t="n">
        <v>3</v>
      </c>
      <c r="J189" s="64">
        <f>MAX(I189-H189,0)</f>
        <v/>
      </c>
      <c r="K189" s="67" t="inlineStr">
        <is>
          <t>https://img.alicdn.com/bao/uploaded/i4/2217590670593/O1CN01eRpCI51GFdsVenbHc_!!2217590670593.jpg</t>
        </is>
      </c>
      <c r="L189" s="66" t="n"/>
    </row>
    <row r="190" ht="17" customHeight="1">
      <c r="A190" s="4" t="n">
        <v>187</v>
      </c>
      <c r="B190" s="4" t="inlineStr">
        <is>
          <t>TNW-0702-褐M</t>
        </is>
      </c>
      <c r="C190" s="4" t="inlineStr">
        <is>
          <t>TNW-0702</t>
        </is>
      </c>
      <c r="D190" s="5" t="inlineStr">
        <is>
          <t>扭捏 乐谱印花长袖T恤 兰精天丝进口美利奴羊毛打底上衣小众设计</t>
        </is>
      </c>
      <c r="E190" s="5" t="inlineStr">
        <is>
          <t>茶褐色音符上衣</t>
        </is>
      </c>
      <c r="F190" s="4" t="inlineStr">
        <is>
          <t>M</t>
        </is>
      </c>
      <c r="G190" s="6" t="n">
        <v>299</v>
      </c>
      <c r="H190" s="21" t="n">
        <v>19</v>
      </c>
      <c r="I190" s="58" t="n">
        <v>3</v>
      </c>
      <c r="J190" s="64">
        <f>MAX(I190-H190,0)</f>
        <v/>
      </c>
      <c r="K190" s="65" t="inlineStr">
        <is>
          <t>https://img.alicdn.com/bao/uploaded/i1/2217590670593/O1CN01gQvtbb1GFdsW0DTFJ_!!2217590670593.jpg</t>
        </is>
      </c>
      <c r="L190" s="66" t="n"/>
    </row>
    <row r="191" ht="17" customHeight="1">
      <c r="A191" s="8" t="n">
        <v>188</v>
      </c>
      <c r="B191" s="8" t="inlineStr">
        <is>
          <t>TNW-0702-褐S</t>
        </is>
      </c>
      <c r="C191" s="8" t="inlineStr">
        <is>
          <t>TNW-0702</t>
        </is>
      </c>
      <c r="D191" s="9" t="inlineStr">
        <is>
          <t>扭捏 乐谱印花长袖T恤 兰精天丝进口美利奴羊毛打底上衣小众设计</t>
        </is>
      </c>
      <c r="E191" s="9" t="inlineStr">
        <is>
          <t>茶褐色音符上衣</t>
        </is>
      </c>
      <c r="F191" s="8" t="inlineStr">
        <is>
          <t>S</t>
        </is>
      </c>
      <c r="G191" s="10" t="n">
        <v>299</v>
      </c>
      <c r="H191" s="21" t="n">
        <v>19</v>
      </c>
      <c r="I191" s="58" t="n">
        <v>3</v>
      </c>
      <c r="J191" s="64">
        <f>MAX(I191-H191,0)</f>
        <v/>
      </c>
      <c r="K191" s="67" t="inlineStr">
        <is>
          <t>https://img.alicdn.com/bao/uploaded/i1/2217590670593/O1CN01gQvtbb1GFdsW0DTFJ_!!2217590670593.jpg</t>
        </is>
      </c>
      <c r="L191" s="66" t="n"/>
    </row>
    <row r="192" ht="17" customHeight="1">
      <c r="A192" s="4" t="n">
        <v>189</v>
      </c>
      <c r="B192" s="4" t="inlineStr">
        <is>
          <t>TNW-0702-绿M</t>
        </is>
      </c>
      <c r="C192" s="4" t="inlineStr">
        <is>
          <t>TNW-0702</t>
        </is>
      </c>
      <c r="D192" s="5" t="inlineStr">
        <is>
          <t>扭捏 乐谱印花长袖T恤 兰精天丝进口美利奴羊毛打底上衣小众设计</t>
        </is>
      </c>
      <c r="E192" s="5" t="inlineStr">
        <is>
          <t>草绿色音符上衣</t>
        </is>
      </c>
      <c r="F192" s="4" t="inlineStr">
        <is>
          <t>M</t>
        </is>
      </c>
      <c r="G192" s="6" t="n">
        <v>299</v>
      </c>
      <c r="H192" s="21" t="n">
        <v>12</v>
      </c>
      <c r="I192" s="58" t="n">
        <v>3</v>
      </c>
      <c r="J192" s="64">
        <f>MAX(I192-H192,0)</f>
        <v/>
      </c>
      <c r="K192" s="65" t="inlineStr">
        <is>
          <t>https://img.alicdn.com/bao/uploaded/i2/2217590670593/O1CN01OgaxZa1GFdspjbGwO_!!2217590670593.jpg</t>
        </is>
      </c>
      <c r="L192" s="66" t="n"/>
    </row>
    <row r="193" ht="17" customHeight="1">
      <c r="A193" s="8" t="n">
        <v>190</v>
      </c>
      <c r="B193" s="8" t="inlineStr">
        <is>
          <t>TNW-0702-绿S</t>
        </is>
      </c>
      <c r="C193" s="8" t="inlineStr">
        <is>
          <t>TNW-0702</t>
        </is>
      </c>
      <c r="D193" s="9" t="inlineStr">
        <is>
          <t>扭捏 乐谱印花长袖T恤 兰精天丝进口美利奴羊毛打底上衣小众设计</t>
        </is>
      </c>
      <c r="E193" s="9" t="inlineStr">
        <is>
          <t>草绿色音符上衣</t>
        </is>
      </c>
      <c r="F193" s="8" t="inlineStr">
        <is>
          <t>S</t>
        </is>
      </c>
      <c r="G193" s="10" t="n">
        <v>299</v>
      </c>
      <c r="H193" s="21" t="n">
        <v>10</v>
      </c>
      <c r="I193" s="58" t="n">
        <v>3</v>
      </c>
      <c r="J193" s="64">
        <f>MAX(I193-H193,0)</f>
        <v/>
      </c>
      <c r="K193" s="67" t="inlineStr">
        <is>
          <t>https://img.alicdn.com/bao/uploaded/i2/2217590670593/O1CN01OgaxZa1GFdspjbGwO_!!2217590670593.jpg</t>
        </is>
      </c>
      <c r="L193" s="66" t="n"/>
    </row>
    <row r="194" ht="17" customHeight="1">
      <c r="A194" s="4" t="n">
        <v>191</v>
      </c>
      <c r="B194" s="4" t="inlineStr">
        <is>
          <t>TNW-1022-蓝M</t>
        </is>
      </c>
      <c r="C194" s="4" t="inlineStr">
        <is>
          <t>TNW-1022</t>
        </is>
      </c>
      <c r="D194" s="5" t="inlineStr">
        <is>
          <t>扭捏 原创碎花90白鹅绒服 浅紫色蓝色双面穿 面包羽绒服保暖外套</t>
        </is>
      </c>
      <c r="E194" s="5" t="inlineStr">
        <is>
          <t>蓝色碎花90白鹅绒服</t>
        </is>
      </c>
      <c r="F194" s="4" t="inlineStr">
        <is>
          <t>M</t>
        </is>
      </c>
      <c r="G194" s="6" t="n">
        <v>1699</v>
      </c>
      <c r="H194" s="21" t="n">
        <v>20</v>
      </c>
      <c r="I194" s="58" t="n">
        <v>3</v>
      </c>
      <c r="J194" s="64">
        <f>MAX(I194-H194,0)</f>
        <v/>
      </c>
      <c r="K194" s="65" t="inlineStr">
        <is>
          <t>https://img.alicdn.com/bao/uploaded/i2/2217590670593/O1CN01LAVLsC1GFdsXHNbxL_!!2217590670593.jpg</t>
        </is>
      </c>
      <c r="L194" s="66" t="n"/>
    </row>
    <row r="195" ht="17" customHeight="1">
      <c r="A195" s="8" t="n">
        <v>192</v>
      </c>
      <c r="B195" s="8" t="inlineStr">
        <is>
          <t>TNW-1022-蓝S</t>
        </is>
      </c>
      <c r="C195" s="8" t="inlineStr">
        <is>
          <t>TNW-1022</t>
        </is>
      </c>
      <c r="D195" s="9" t="inlineStr">
        <is>
          <t>扭捏 原创碎花90白鹅绒服 浅紫色蓝色双面穿 面包羽绒服保暖外套</t>
        </is>
      </c>
      <c r="E195" s="9" t="inlineStr">
        <is>
          <t>蓝色碎花90白鹅绒服</t>
        </is>
      </c>
      <c r="F195" s="8" t="inlineStr">
        <is>
          <t>S</t>
        </is>
      </c>
      <c r="G195" s="10" t="n">
        <v>1699</v>
      </c>
      <c r="H195" s="21" t="n">
        <v>9</v>
      </c>
      <c r="I195" s="58" t="n">
        <v>3</v>
      </c>
      <c r="J195" s="64">
        <f>MAX(I195-H195,0)</f>
        <v/>
      </c>
      <c r="K195" s="67" t="inlineStr">
        <is>
          <t>https://img.alicdn.com/bao/uploaded/i2/2217590670593/O1CN01LAVLsC1GFdsXHNbxL_!!2217590670593.jpg</t>
        </is>
      </c>
      <c r="L195" s="66" t="n"/>
    </row>
    <row r="196" ht="17" customHeight="1">
      <c r="A196" s="4" t="n">
        <v>193</v>
      </c>
      <c r="B196" s="4" t="inlineStr">
        <is>
          <t>TNW-1022-紫M</t>
        </is>
      </c>
      <c r="C196" s="4" t="inlineStr">
        <is>
          <t>TNW-1022</t>
        </is>
      </c>
      <c r="D196" s="5" t="inlineStr">
        <is>
          <t>扭捏 原创碎花90白鹅绒服 浅紫色蓝色双面穿 面包羽绒服保暖外套</t>
        </is>
      </c>
      <c r="E196" s="5" t="inlineStr">
        <is>
          <t>紫色碎花90白鹅绒服</t>
        </is>
      </c>
      <c r="F196" s="4" t="inlineStr">
        <is>
          <t>M</t>
        </is>
      </c>
      <c r="G196" s="6" t="n">
        <v>1699</v>
      </c>
      <c r="H196" s="21" t="n">
        <v>19</v>
      </c>
      <c r="I196" s="58" t="n">
        <v>3</v>
      </c>
      <c r="J196" s="64">
        <f>MAX(I196-H196,0)</f>
        <v/>
      </c>
      <c r="K196" s="65" t="inlineStr">
        <is>
          <t>https://img.alicdn.com/bao/uploaded/i4/2217590670593/O1CN01TMbQMR1GFdsWfnQtb_!!2217590670593.jpg</t>
        </is>
      </c>
      <c r="L196" s="66" t="n"/>
    </row>
    <row r="197" ht="17" customHeight="1">
      <c r="A197" s="8" t="n">
        <v>194</v>
      </c>
      <c r="B197" s="8" t="inlineStr">
        <is>
          <t>TNW-1022-紫S</t>
        </is>
      </c>
      <c r="C197" s="8" t="inlineStr">
        <is>
          <t>TNW-1022</t>
        </is>
      </c>
      <c r="D197" s="9" t="inlineStr">
        <is>
          <t>扭捏 原创碎花90白鹅绒服 浅紫色蓝色双面穿 面包羽绒服保暖外套</t>
        </is>
      </c>
      <c r="E197" s="9" t="inlineStr">
        <is>
          <t>紫色碎花90白鹅绒服</t>
        </is>
      </c>
      <c r="F197" s="8" t="inlineStr">
        <is>
          <t>S</t>
        </is>
      </c>
      <c r="G197" s="10" t="n">
        <v>1699</v>
      </c>
      <c r="H197" s="21" t="n">
        <v>13</v>
      </c>
      <c r="I197" s="58" t="n">
        <v>3</v>
      </c>
      <c r="J197" s="64">
        <f>MAX(I197-H197,0)</f>
        <v/>
      </c>
      <c r="K197" s="67" t="inlineStr">
        <is>
          <t>https://img.alicdn.com/bao/uploaded/i4/2217590670593/O1CN01TMbQMR1GFdsWfnQtb_!!2217590670593.jpg</t>
        </is>
      </c>
      <c r="L197" s="66" t="n"/>
    </row>
    <row r="198" ht="17" customHeight="1">
      <c r="A198" s="4" t="n">
        <v>195</v>
      </c>
      <c r="B198" s="4" t="inlineStr">
        <is>
          <t>TNW-0907-M</t>
        </is>
      </c>
      <c r="C198" s="4" t="inlineStr">
        <is>
          <t>TNW-0907</t>
        </is>
      </c>
      <c r="D198" s="5" t="inlineStr">
        <is>
          <t>扭捏 NIU NIE 紫色贴布刺绣毛巾布 碎花两面穿加厚外套 原创设计</t>
        </is>
      </c>
      <c r="E198" s="5" t="inlineStr">
        <is>
          <t>紫色碎花两面穿卫衣</t>
        </is>
      </c>
      <c r="F198" s="4" t="inlineStr">
        <is>
          <t>M</t>
        </is>
      </c>
      <c r="G198" s="6" t="n">
        <v>549</v>
      </c>
      <c r="H198" s="21" t="n">
        <v>19</v>
      </c>
      <c r="I198" s="58" t="n">
        <v>3</v>
      </c>
      <c r="J198" s="64">
        <f>MAX(I198-H198,0)</f>
        <v/>
      </c>
      <c r="K198" s="65" t="inlineStr">
        <is>
          <t>https://img.alicdn.com/bao/uploaded/i2/2217590670593/O1CN01zQJ1mq1GFdsR9pKki_!!2217590670593.jpg</t>
        </is>
      </c>
      <c r="L198" s="66" t="n"/>
    </row>
    <row r="199" ht="17" customHeight="1">
      <c r="A199" s="8" t="n">
        <v>196</v>
      </c>
      <c r="B199" s="8" t="inlineStr">
        <is>
          <t>TNW-0907-S</t>
        </is>
      </c>
      <c r="C199" s="8" t="inlineStr">
        <is>
          <t>TNW-0907</t>
        </is>
      </c>
      <c r="D199" s="9" t="inlineStr">
        <is>
          <t>扭捏 NIU NIE 紫色贴布刺绣毛巾布 碎花两面穿加厚外套 原创设计</t>
        </is>
      </c>
      <c r="E199" s="9" t="inlineStr">
        <is>
          <t>紫色碎花两面穿卫衣</t>
        </is>
      </c>
      <c r="F199" s="8" t="inlineStr">
        <is>
          <t>S</t>
        </is>
      </c>
      <c r="G199" s="10" t="n">
        <v>549</v>
      </c>
      <c r="H199" s="21" t="n">
        <v>15</v>
      </c>
      <c r="I199" s="58" t="n">
        <v>3</v>
      </c>
      <c r="J199" s="64">
        <f>MAX(I199-H199,0)</f>
        <v/>
      </c>
      <c r="K199" s="67" t="inlineStr">
        <is>
          <t>https://img.alicdn.com/bao/uploaded/i2/2217590670593/O1CN01zQJ1mq1GFdsR9pKki_!!2217590670593.jpg</t>
        </is>
      </c>
      <c r="L199" s="66" t="n"/>
    </row>
    <row r="200" ht="17" customHeight="1">
      <c r="A200" s="4" t="n">
        <v>197</v>
      </c>
      <c r="B200" s="4" t="inlineStr">
        <is>
          <t>TNW-1011-棕M</t>
        </is>
      </c>
      <c r="C200" s="4" t="inlineStr">
        <is>
          <t>TNW-0918-1011</t>
        </is>
      </c>
      <c r="D200" s="5" t="inlineStr">
        <is>
          <t>扭捏 「我只想睡觉」原创印花双层圆领毛巾料卫衣睡衣长裤 家居服</t>
        </is>
      </c>
      <c r="E200" s="5" t="inlineStr">
        <is>
          <t>棕色毛巾长裤</t>
        </is>
      </c>
      <c r="F200" s="4" t="inlineStr">
        <is>
          <t>M</t>
        </is>
      </c>
      <c r="G200" s="6" t="n">
        <v>269</v>
      </c>
      <c r="H200" s="21" t="n">
        <v>18</v>
      </c>
      <c r="I200" s="58" t="n">
        <v>3</v>
      </c>
      <c r="J200" s="64">
        <f>MAX(I200-H200,0)</f>
        <v/>
      </c>
      <c r="K200" s="65" t="inlineStr">
        <is>
          <t>https://img.alicdn.com/bao/uploaded/i4/2217590670593/O1CN01AAJFUG1GFdsWvNuBg_!!2217590670593.jpg</t>
        </is>
      </c>
      <c r="L200" s="66" t="n"/>
    </row>
    <row r="201" ht="17" customHeight="1">
      <c r="A201" s="8" t="n">
        <v>198</v>
      </c>
      <c r="B201" s="8" t="inlineStr">
        <is>
          <t>TNW-1011-棕S</t>
        </is>
      </c>
      <c r="C201" s="8" t="inlineStr">
        <is>
          <t>TNW-0918-1011</t>
        </is>
      </c>
      <c r="D201" s="9" t="inlineStr">
        <is>
          <t>扭捏 「我只想睡觉」原创印花双层圆领毛巾料卫衣睡衣长裤 家居服</t>
        </is>
      </c>
      <c r="E201" s="9" t="inlineStr">
        <is>
          <t>棕色毛巾长裤</t>
        </is>
      </c>
      <c r="F201" s="8" t="inlineStr">
        <is>
          <t>S</t>
        </is>
      </c>
      <c r="G201" s="10" t="n">
        <v>269</v>
      </c>
      <c r="H201" s="21" t="n">
        <v>15</v>
      </c>
      <c r="I201" s="58" t="n">
        <v>3</v>
      </c>
      <c r="J201" s="64">
        <f>MAX(I201-H201,0)</f>
        <v/>
      </c>
      <c r="K201" s="67" t="inlineStr">
        <is>
          <t>https://img.alicdn.com/bao/uploaded/i4/2217590670593/O1CN01AAJFUG1GFdsWvNuBg_!!2217590670593.jpg</t>
        </is>
      </c>
      <c r="L201" s="66" t="n"/>
    </row>
    <row r="202" ht="17" customHeight="1">
      <c r="A202" s="4" t="n">
        <v>199</v>
      </c>
      <c r="B202" s="4" t="inlineStr">
        <is>
          <t>TNW-0918-M</t>
        </is>
      </c>
      <c r="C202" s="4" t="inlineStr">
        <is>
          <t>TNW-0918-1011</t>
        </is>
      </c>
      <c r="D202" s="5" t="inlineStr">
        <is>
          <t>扭捏 「我只想睡觉」原创印花双层圆领毛巾料卫衣睡衣长裤 家居服</t>
        </is>
      </c>
      <c r="E202" s="5" t="inlineStr">
        <is>
          <t>双层圆领卫衣</t>
        </is>
      </c>
      <c r="F202" s="4" t="inlineStr">
        <is>
          <t>M</t>
        </is>
      </c>
      <c r="G202" s="6" t="n">
        <v>299</v>
      </c>
      <c r="H202" s="21" t="n">
        <v>7</v>
      </c>
      <c r="I202" s="58" t="n">
        <v>3</v>
      </c>
      <c r="J202" s="64">
        <f>MAX(I202-H202,0)</f>
        <v/>
      </c>
      <c r="K202" s="65" t="inlineStr">
        <is>
          <t>https://img.alicdn.com/bao/uploaded/i1/2217590670593/O1CN01VrgIYe1GFdsR4FvaG_!!2217590670593.jpg</t>
        </is>
      </c>
      <c r="L202" s="66" t="n"/>
    </row>
    <row r="203" ht="17" customHeight="1">
      <c r="A203" s="8" t="n">
        <v>200</v>
      </c>
      <c r="B203" s="8" t="inlineStr">
        <is>
          <t>TNW-0918-S</t>
        </is>
      </c>
      <c r="C203" s="8" t="inlineStr">
        <is>
          <t>TNW-0918-1011</t>
        </is>
      </c>
      <c r="D203" s="9" t="inlineStr">
        <is>
          <t>扭捏 「我只想睡觉」原创印花双层圆领毛巾料卫衣睡衣长裤 家居服</t>
        </is>
      </c>
      <c r="E203" s="9" t="inlineStr">
        <is>
          <t>双层圆领卫衣</t>
        </is>
      </c>
      <c r="F203" s="8" t="inlineStr">
        <is>
          <t>S</t>
        </is>
      </c>
      <c r="G203" s="10" t="n">
        <v>299</v>
      </c>
      <c r="H203" s="21" t="n">
        <v>11</v>
      </c>
      <c r="I203" s="58" t="n">
        <v>3</v>
      </c>
      <c r="J203" s="64">
        <f>MAX(I203-H203,0)</f>
        <v/>
      </c>
      <c r="K203" s="67" t="inlineStr">
        <is>
          <t>https://img.alicdn.com/bao/uploaded/i1/2217590670593/O1CN01VrgIYe1GFdsR4FvaG_!!2217590670593.jpg</t>
        </is>
      </c>
      <c r="L203" s="66" t="n"/>
    </row>
    <row r="204" ht="17" customHeight="1">
      <c r="A204" s="4" t="n">
        <v>201</v>
      </c>
      <c r="B204" s="4" t="inlineStr">
        <is>
          <t>TNW-0915-M</t>
        </is>
      </c>
      <c r="C204" s="4" t="inlineStr">
        <is>
          <t>TNW-0802-0915</t>
        </is>
      </c>
      <c r="D204" s="5" t="inlineStr">
        <is>
          <t>扭捏原创 澳洲进口美利奴羊毛 缩绒工艺 撞色拼接衬衫上衣 花苞裙</t>
        </is>
      </c>
      <c r="E204" s="5" t="inlineStr">
        <is>
          <t>浅绿色花苞裙</t>
        </is>
      </c>
      <c r="F204" s="4" t="inlineStr">
        <is>
          <t>M</t>
        </is>
      </c>
      <c r="G204" s="6" t="n">
        <v>499</v>
      </c>
      <c r="H204" s="21" t="n">
        <v>3</v>
      </c>
      <c r="I204" s="58" t="n">
        <v>3</v>
      </c>
      <c r="J204" s="64">
        <f>MAX(I204-H204,0)</f>
        <v/>
      </c>
      <c r="K204" s="65" t="inlineStr">
        <is>
          <t>https://img.alicdn.com/bao/uploaded/i2/2217590670593/O1CN01X6xBrX1GFdsR7bNEl_!!2217590670593.jpg</t>
        </is>
      </c>
      <c r="L204" s="66" t="n"/>
    </row>
    <row r="205" ht="17" customHeight="1">
      <c r="A205" s="8" t="n">
        <v>202</v>
      </c>
      <c r="B205" s="8" t="inlineStr">
        <is>
          <t>TNW-0915-S</t>
        </is>
      </c>
      <c r="C205" s="8" t="inlineStr">
        <is>
          <t>TNW-0802-0915</t>
        </is>
      </c>
      <c r="D205" s="9" t="inlineStr">
        <is>
          <t>扭捏原创 澳洲进口美利奴羊毛 缩绒工艺 撞色拼接衬衫上衣 花苞裙</t>
        </is>
      </c>
      <c r="E205" s="9" t="inlineStr">
        <is>
          <t>浅绿色花苞裙</t>
        </is>
      </c>
      <c r="F205" s="8" t="inlineStr">
        <is>
          <t>S</t>
        </is>
      </c>
      <c r="G205" s="10" t="n">
        <v>499</v>
      </c>
      <c r="H205" s="21" t="n">
        <v>3</v>
      </c>
      <c r="I205" s="58" t="n">
        <v>3</v>
      </c>
      <c r="J205" s="64">
        <f>MAX(I205-H205,0)</f>
        <v/>
      </c>
      <c r="K205" s="67" t="inlineStr">
        <is>
          <t>https://img.alicdn.com/bao/uploaded/i2/2217590670593/O1CN01X6xBrX1GFdsR7bNEl_!!2217590670593.jpg</t>
        </is>
      </c>
      <c r="L205" s="66" t="n"/>
    </row>
    <row r="206" ht="17" customHeight="1">
      <c r="A206" s="4" t="n">
        <v>203</v>
      </c>
      <c r="B206" s="4" t="inlineStr">
        <is>
          <t>TNW-0802-M</t>
        </is>
      </c>
      <c r="C206" s="4" t="inlineStr">
        <is>
          <t>TNW-0802-0915</t>
        </is>
      </c>
      <c r="D206" s="5" t="inlineStr">
        <is>
          <t>扭捏原创 澳洲进口美利奴羊毛 缩绒工艺 撞色拼接衬衫上衣 花苞裙</t>
        </is>
      </c>
      <c r="E206" s="5" t="inlineStr">
        <is>
          <t>撞色拼接衬衫</t>
        </is>
      </c>
      <c r="F206" s="4" t="inlineStr">
        <is>
          <t>M</t>
        </is>
      </c>
      <c r="G206" s="6" t="n">
        <v>529</v>
      </c>
      <c r="H206" s="21" t="n">
        <v>3</v>
      </c>
      <c r="I206" s="58" t="n">
        <v>3</v>
      </c>
      <c r="J206" s="64">
        <f>MAX(I206-H206,0)</f>
        <v/>
      </c>
      <c r="K206" s="65" t="inlineStr">
        <is>
          <t>https://img.alicdn.com/bao/uploaded/i1/2217590670593/O1CN01HCiENH1GFdsOxzxVR_!!2217590670593.jpg</t>
        </is>
      </c>
      <c r="L206" s="66" t="n"/>
    </row>
    <row r="207" ht="17" customHeight="1">
      <c r="A207" s="8" t="n">
        <v>204</v>
      </c>
      <c r="B207" s="8" t="inlineStr">
        <is>
          <t>TNW-0802-S</t>
        </is>
      </c>
      <c r="C207" s="8" t="inlineStr">
        <is>
          <t>TNW-0802-0915</t>
        </is>
      </c>
      <c r="D207" s="9" t="inlineStr">
        <is>
          <t>扭捏原创 澳洲进口美利奴羊毛 缩绒工艺 撞色拼接衬衫上衣 花苞裙</t>
        </is>
      </c>
      <c r="E207" s="9" t="inlineStr">
        <is>
          <t>撞色拼接衬衫</t>
        </is>
      </c>
      <c r="F207" s="8" t="inlineStr">
        <is>
          <t>S</t>
        </is>
      </c>
      <c r="G207" s="10" t="n">
        <v>529</v>
      </c>
      <c r="H207" s="21" t="n">
        <v>7</v>
      </c>
      <c r="I207" s="58" t="n">
        <v>3</v>
      </c>
      <c r="J207" s="64">
        <f>MAX(I207-H207,0)</f>
        <v/>
      </c>
      <c r="K207" s="67" t="inlineStr">
        <is>
          <t>https://img.alicdn.com/bao/uploaded/i1/2217590670593/O1CN01HCiENH1GFdsOxzxVR_!!2217590670593.jpg</t>
        </is>
      </c>
      <c r="L207" s="66" t="n"/>
    </row>
    <row r="208" ht="17" customHeight="1">
      <c r="A208" s="4" t="n">
        <v>205</v>
      </c>
      <c r="B208" s="4" t="inlineStr"/>
      <c r="C208" s="4" t="inlineStr">
        <is>
          <t>NTF-0305</t>
        </is>
      </c>
      <c r="D208" s="5" t="inlineStr">
        <is>
          <t>扭捏 真丝棉混纺轻薄法式白衬衫 玫瑰花边荷叶领复古宽松长袖上衣</t>
        </is>
      </c>
      <c r="E208" s="5" t="inlineStr">
        <is>
          <t>白色花边衬衫</t>
        </is>
      </c>
      <c r="F208" s="4" t="inlineStr">
        <is>
          <t>真丝织物脆弱 请勿机洗以及大力拧干</t>
        </is>
      </c>
      <c r="G208" s="6" t="n">
        <v>428</v>
      </c>
      <c r="H208" s="21" t="n">
        <v>0</v>
      </c>
      <c r="I208" s="58" t="n">
        <v>3</v>
      </c>
      <c r="J208" s="64">
        <f>MAX(I208-H208,0)</f>
        <v/>
      </c>
      <c r="K208" s="65" t="inlineStr">
        <is>
          <t>https://img.alicdn.com/bao/uploaded/i1/2217590670593/O1CN01KrbK0i1GFdpiapeNw_!!2217590670593.jpg</t>
        </is>
      </c>
      <c r="L208" s="66" t="n"/>
    </row>
    <row r="209" ht="17" customHeight="1">
      <c r="A209" s="8" t="n">
        <v>206</v>
      </c>
      <c r="B209" s="8" t="inlineStr"/>
      <c r="C209" s="8" t="inlineStr">
        <is>
          <t>NTF-0307A</t>
        </is>
      </c>
      <c r="D209" s="9" t="inlineStr">
        <is>
          <t>扭捏 可爱小猫印花蕾丝花边少女感百搭灰色圆领短袖T恤上衣</t>
        </is>
      </c>
      <c r="E209" s="9" t="inlineStr">
        <is>
          <t>白色小猫T恤</t>
        </is>
      </c>
      <c r="F209" s="8" t="inlineStr">
        <is>
          <t>L</t>
        </is>
      </c>
      <c r="G209" s="10" t="n">
        <v>198</v>
      </c>
      <c r="H209" s="21" t="n">
        <v>8</v>
      </c>
      <c r="I209" s="58" t="n">
        <v>3</v>
      </c>
      <c r="J209" s="64">
        <f>MAX(I209-H209,0)</f>
        <v/>
      </c>
      <c r="K209" s="67" t="inlineStr">
        <is>
          <t>https://img.alicdn.com/bao/uploaded/i1/2217590670593/O1CN01SGoUtm1GFdqCuUl6x_!!2217590670593.jpg</t>
        </is>
      </c>
      <c r="L209" s="66" t="n"/>
    </row>
    <row r="210" ht="17" customHeight="1">
      <c r="A210" s="4" t="n">
        <v>207</v>
      </c>
      <c r="B210" s="4" t="inlineStr"/>
      <c r="C210" s="4" t="inlineStr">
        <is>
          <t>NTF-0307A</t>
        </is>
      </c>
      <c r="D210" s="5" t="inlineStr">
        <is>
          <t>扭捏 可爱小猫印花蕾丝花边少女感百搭灰色圆领短袖T恤上衣</t>
        </is>
      </c>
      <c r="E210" s="5" t="inlineStr">
        <is>
          <t>白色小猫T恤</t>
        </is>
      </c>
      <c r="F210" s="4" t="inlineStr">
        <is>
          <t>M</t>
        </is>
      </c>
      <c r="G210" s="6" t="n">
        <v>198</v>
      </c>
      <c r="H210" s="21" t="n">
        <v>5</v>
      </c>
      <c r="I210" s="58" t="n">
        <v>3</v>
      </c>
      <c r="J210" s="64">
        <f>MAX(I210-H210,0)</f>
        <v/>
      </c>
      <c r="K210" s="65" t="inlineStr">
        <is>
          <t>https://img.alicdn.com/bao/uploaded/i1/2217590670593/O1CN01SGoUtm1GFdqCuUl6x_!!2217590670593.jpg</t>
        </is>
      </c>
      <c r="L210" s="66" t="n"/>
    </row>
    <row r="211" ht="17" customHeight="1">
      <c r="A211" s="8" t="n">
        <v>208</v>
      </c>
      <c r="B211" s="8" t="inlineStr"/>
      <c r="C211" s="8" t="inlineStr">
        <is>
          <t>NTF-0307A</t>
        </is>
      </c>
      <c r="D211" s="9" t="inlineStr">
        <is>
          <t>扭捏 可爱小猫印花蕾丝花边少女感百搭灰色圆领短袖T恤上衣</t>
        </is>
      </c>
      <c r="E211" s="9" t="inlineStr">
        <is>
          <t>白色小猫T恤</t>
        </is>
      </c>
      <c r="F211" s="8" t="inlineStr">
        <is>
          <t>S</t>
        </is>
      </c>
      <c r="G211" s="10" t="n">
        <v>198</v>
      </c>
      <c r="H211" s="21" t="n">
        <v>5</v>
      </c>
      <c r="I211" s="58" t="n">
        <v>3</v>
      </c>
      <c r="J211" s="64">
        <f>MAX(I211-H211,0)</f>
        <v/>
      </c>
      <c r="K211" s="67" t="inlineStr">
        <is>
          <t>https://img.alicdn.com/bao/uploaded/i1/2217590670593/O1CN01SGoUtm1GFdqCuUl6x_!!2217590670593.jpg</t>
        </is>
      </c>
      <c r="L211" s="66" t="n"/>
    </row>
    <row r="212" ht="17" customHeight="1">
      <c r="A212" s="4" t="n">
        <v>209</v>
      </c>
      <c r="B212" s="4" t="inlineStr">
        <is>
          <t>NTF0351-L</t>
        </is>
      </c>
      <c r="C212" s="4" t="inlineStr">
        <is>
          <t>NTF-0511-0351</t>
        </is>
      </c>
      <c r="D212" s="5" t="inlineStr">
        <is>
          <t>扭捏 流光缎面感复古棉麻提花背心吊带星星半裙正反拼接两件套装</t>
        </is>
      </c>
      <c r="E212" s="5" t="inlineStr">
        <is>
          <t>星星拼接半裙</t>
        </is>
      </c>
      <c r="F212" s="4" t="inlineStr">
        <is>
          <t>L</t>
        </is>
      </c>
      <c r="G212" s="6" t="n">
        <v>338</v>
      </c>
      <c r="H212" s="21" t="n">
        <v>0</v>
      </c>
      <c r="I212" s="58" t="n">
        <v>3</v>
      </c>
      <c r="J212" s="64">
        <f>MAX(I212-H212,0)</f>
        <v/>
      </c>
      <c r="K212" s="65" t="inlineStr">
        <is>
          <t>https://img.alicdn.com/bao/uploaded/i4/2217590670593/O1CN01NVLkKm1GFdqCCXdK9_!!2217590670593.jpg</t>
        </is>
      </c>
      <c r="L212" s="66" t="n"/>
    </row>
    <row r="213" ht="17" customHeight="1">
      <c r="A213" s="8" t="n">
        <v>210</v>
      </c>
      <c r="B213" s="8" t="inlineStr">
        <is>
          <t>NTF0511-L</t>
        </is>
      </c>
      <c r="C213" s="8" t="inlineStr">
        <is>
          <t>NTF-0511-0351</t>
        </is>
      </c>
      <c r="D213" s="9" t="inlineStr">
        <is>
          <t>扭捏 流光缎面感复古棉麻提花背心吊带星星半裙正反拼接两件套装</t>
        </is>
      </c>
      <c r="E213" s="9" t="inlineStr">
        <is>
          <t>星星吊带</t>
        </is>
      </c>
      <c r="F213" s="8" t="inlineStr">
        <is>
          <t>L</t>
        </is>
      </c>
      <c r="G213" s="10" t="n">
        <v>278</v>
      </c>
      <c r="H213" s="21" t="n">
        <v>5</v>
      </c>
      <c r="I213" s="58" t="n">
        <v>3</v>
      </c>
      <c r="J213" s="64">
        <f>MAX(I213-H213,0)</f>
        <v/>
      </c>
      <c r="K213" s="67" t="inlineStr">
        <is>
          <t>https://img.alicdn.com/bao/uploaded/i2/2217590670593/O1CN01bqDp0B1GFdqA7ygJp_!!2217590670593.jpg</t>
        </is>
      </c>
      <c r="L213" s="66" t="n"/>
    </row>
    <row r="214" ht="17" customHeight="1">
      <c r="A214" s="4" t="n">
        <v>211</v>
      </c>
      <c r="B214" s="4" t="inlineStr">
        <is>
          <t>NTF0351-M</t>
        </is>
      </c>
      <c r="C214" s="4" t="inlineStr">
        <is>
          <t>NTF-0511-0351</t>
        </is>
      </c>
      <c r="D214" s="5" t="inlineStr">
        <is>
          <t>扭捏 流光缎面感复古棉麻提花背心吊带星星半裙正反拼接两件套装</t>
        </is>
      </c>
      <c r="E214" s="5" t="inlineStr">
        <is>
          <t>星星拼接半裙</t>
        </is>
      </c>
      <c r="F214" s="4" t="inlineStr">
        <is>
          <t>M</t>
        </is>
      </c>
      <c r="G214" s="6" t="n">
        <v>338</v>
      </c>
      <c r="H214" s="21" t="n">
        <v>17</v>
      </c>
      <c r="I214" s="58" t="n">
        <v>3</v>
      </c>
      <c r="J214" s="64">
        <f>MAX(I214-H214,0)</f>
        <v/>
      </c>
      <c r="K214" s="65" t="inlineStr">
        <is>
          <t>https://img.alicdn.com/bao/uploaded/i4/2217590670593/O1CN01NVLkKm1GFdqCCXdK9_!!2217590670593.jpg</t>
        </is>
      </c>
      <c r="L214" s="66" t="n"/>
    </row>
    <row r="215" ht="17" customHeight="1">
      <c r="A215" s="8" t="n">
        <v>212</v>
      </c>
      <c r="B215" s="8" t="inlineStr">
        <is>
          <t>NTF0351-S</t>
        </is>
      </c>
      <c r="C215" s="8" t="inlineStr">
        <is>
          <t>NTF-0511-0351</t>
        </is>
      </c>
      <c r="D215" s="9" t="inlineStr">
        <is>
          <t>扭捏 流光缎面感复古棉麻提花背心吊带星星半裙正反拼接两件套装</t>
        </is>
      </c>
      <c r="E215" s="9" t="inlineStr">
        <is>
          <t>星星拼接半裙</t>
        </is>
      </c>
      <c r="F215" s="8" t="inlineStr">
        <is>
          <t>S</t>
        </is>
      </c>
      <c r="G215" s="10" t="n">
        <v>338</v>
      </c>
      <c r="H215" s="21" t="n">
        <v>12</v>
      </c>
      <c r="I215" s="58" t="n">
        <v>3</v>
      </c>
      <c r="J215" s="64">
        <f>MAX(I215-H215,0)</f>
        <v/>
      </c>
      <c r="K215" s="67" t="inlineStr">
        <is>
          <t>https://img.alicdn.com/bao/uploaded/i4/2217590670593/O1CN01NVLkKm1GFdqCCXdK9_!!2217590670593.jpg</t>
        </is>
      </c>
      <c r="L215" s="66" t="n"/>
    </row>
    <row r="216" ht="17" customHeight="1">
      <c r="A216" s="4" t="n">
        <v>213</v>
      </c>
      <c r="B216" s="4" t="inlineStr">
        <is>
          <t>NTF0511-M</t>
        </is>
      </c>
      <c r="C216" s="4" t="inlineStr">
        <is>
          <t>NTF-0511-0351</t>
        </is>
      </c>
      <c r="D216" s="5" t="inlineStr">
        <is>
          <t>扭捏 流光缎面感复古棉麻提花背心吊带星星半裙正反拼接两件套装</t>
        </is>
      </c>
      <c r="E216" s="5" t="inlineStr">
        <is>
          <t>星星吊带</t>
        </is>
      </c>
      <c r="F216" s="4" t="inlineStr">
        <is>
          <t>M</t>
        </is>
      </c>
      <c r="G216" s="6" t="n">
        <v>278</v>
      </c>
      <c r="H216" s="21" t="n">
        <v>17</v>
      </c>
      <c r="I216" s="58" t="n">
        <v>3</v>
      </c>
      <c r="J216" s="64">
        <f>MAX(I216-H216,0)</f>
        <v/>
      </c>
      <c r="K216" s="65" t="inlineStr">
        <is>
          <t>https://img.alicdn.com/bao/uploaded/i2/2217590670593/O1CN01bqDp0B1GFdqA7ygJp_!!2217590670593.jpg</t>
        </is>
      </c>
      <c r="L216" s="66" t="n"/>
    </row>
    <row r="217" ht="17" customHeight="1">
      <c r="A217" s="8" t="n">
        <v>214</v>
      </c>
      <c r="B217" s="8" t="inlineStr">
        <is>
          <t>NTF0511-S</t>
        </is>
      </c>
      <c r="C217" s="8" t="inlineStr">
        <is>
          <t>NTF-0511-0351</t>
        </is>
      </c>
      <c r="D217" s="9" t="inlineStr">
        <is>
          <t>扭捏 流光缎面感复古棉麻提花背心吊带星星半裙正反拼接两件套装</t>
        </is>
      </c>
      <c r="E217" s="9" t="inlineStr">
        <is>
          <t>星星吊带</t>
        </is>
      </c>
      <c r="F217" s="8" t="inlineStr">
        <is>
          <t>S</t>
        </is>
      </c>
      <c r="G217" s="10" t="n">
        <v>278</v>
      </c>
      <c r="H217" s="21" t="n">
        <v>7</v>
      </c>
      <c r="I217" s="58" t="n">
        <v>3</v>
      </c>
      <c r="J217" s="64">
        <f>MAX(I217-H217,0)</f>
        <v/>
      </c>
      <c r="K217" s="67" t="inlineStr">
        <is>
          <t>https://img.alicdn.com/bao/uploaded/i2/2217590670593/O1CN01bqDp0B1GFdqA7ygJp_!!2217590670593.jpg</t>
        </is>
      </c>
      <c r="L217" s="66" t="n"/>
    </row>
    <row r="218" ht="17" customHeight="1">
      <c r="A218" s="4" t="n">
        <v>215</v>
      </c>
      <c r="B218" s="4" t="inlineStr">
        <is>
          <t>NTF0303-L</t>
        </is>
      </c>
      <c r="C218" s="4" t="inlineStr">
        <is>
          <t>NTF-0303</t>
        </is>
      </c>
      <c r="D218" s="5" t="inlineStr">
        <is>
          <t>扭捏 草裙舞女孩 / 小众设计夏威夷感度假风松紧腰沙滩印花半身裙</t>
        </is>
      </c>
      <c r="E218" s="5" t="inlineStr">
        <is>
          <t>夏威夷沙滩裙</t>
        </is>
      </c>
      <c r="F218" s="4" t="inlineStr">
        <is>
          <t>L</t>
        </is>
      </c>
      <c r="G218" s="6" t="n">
        <v>298</v>
      </c>
      <c r="H218" s="21" t="n">
        <v>0</v>
      </c>
      <c r="I218" s="58" t="n">
        <v>3</v>
      </c>
      <c r="J218" s="64">
        <f>MAX(I218-H218,0)</f>
        <v/>
      </c>
      <c r="K218" s="65" t="inlineStr">
        <is>
          <t>https://img.alicdn.com/bao/uploaded/i1/2217590670593/O1CN01le57m01GFdpiT0H0Y_!!2217590670593.jpg</t>
        </is>
      </c>
      <c r="L218" s="66" t="n"/>
    </row>
    <row r="219" ht="17" customHeight="1">
      <c r="A219" s="8" t="n">
        <v>216</v>
      </c>
      <c r="B219" s="8" t="inlineStr"/>
      <c r="C219" s="8" t="inlineStr">
        <is>
          <t>787851413611</t>
        </is>
      </c>
      <c r="D219" s="9" t="inlineStr">
        <is>
          <t>万能链接</t>
        </is>
      </c>
      <c r="E219" s="9" t="inlineStr"/>
      <c r="F219" s="8" t="inlineStr"/>
      <c r="G219" s="10" t="n">
        <v>10</v>
      </c>
      <c r="H219" s="21" t="n">
        <v>0</v>
      </c>
      <c r="I219" s="58" t="n">
        <v>3</v>
      </c>
      <c r="J219" s="64">
        <f>MAX(I219-H219,0)</f>
        <v/>
      </c>
      <c r="K219" s="67" t="inlineStr">
        <is>
          <t>https://img.alicdn.com/bao/uploaded/i4/2217590670593/O1CN016fOdoC1GFdomtkiPS_!!2217590670593.jpg</t>
        </is>
      </c>
      <c r="L219" s="66" t="n"/>
    </row>
    <row r="220" ht="17" customHeight="1">
      <c r="A220" s="4" t="n">
        <v>217</v>
      </c>
      <c r="B220" s="4" t="inlineStr">
        <is>
          <t>NTF0501A-L</t>
        </is>
      </c>
      <c r="C220" s="4" t="inlineStr">
        <is>
          <t>NTF-0501A</t>
        </is>
      </c>
      <c r="D220" s="5" t="inlineStr">
        <is>
          <t>扭捏 拼接玫瑰法式蕾丝裙蝴蝶结绑带松紧腰 白色一片式a字半身裙</t>
        </is>
      </c>
      <c r="E220" s="5" t="inlineStr">
        <is>
          <t>白色刺绣一片式半裙</t>
        </is>
      </c>
      <c r="F220" s="4" t="inlineStr">
        <is>
          <t>L</t>
        </is>
      </c>
      <c r="G220" s="6" t="n">
        <v>368</v>
      </c>
      <c r="H220" s="21" t="n">
        <v>0</v>
      </c>
      <c r="I220" s="58" t="n">
        <v>3</v>
      </c>
      <c r="J220" s="64">
        <f>MAX(I220-H220,0)</f>
        <v/>
      </c>
      <c r="K220" s="65" t="inlineStr">
        <is>
          <t>https://img.alicdn.com/bao/uploaded/i2/2217590670593/O1CN01TqSozO1GFdpkJcGB8_!!2217590670593.jpg</t>
        </is>
      </c>
      <c r="L220" s="66" t="n"/>
    </row>
    <row r="221" ht="17" customHeight="1">
      <c r="A221" s="8" t="n">
        <v>218</v>
      </c>
      <c r="B221" s="8" t="inlineStr">
        <is>
          <t>NTF0310-L</t>
        </is>
      </c>
      <c r="C221" s="8" t="inlineStr">
        <is>
          <t>NTF-0310</t>
        </is>
      </c>
      <c r="D221" s="9" t="inlineStr">
        <is>
          <t>扭捏 原创设计立体植绒提花兔子吃蘑菇拼接半身裙 宽松显瘦百褶裙</t>
        </is>
      </c>
      <c r="E221" s="9" t="inlineStr">
        <is>
          <t>兔子蘑菇拼接裙</t>
        </is>
      </c>
      <c r="F221" s="8" t="inlineStr">
        <is>
          <t>L</t>
        </is>
      </c>
      <c r="G221" s="10" t="n">
        <v>398</v>
      </c>
      <c r="H221" s="21" t="n">
        <v>0</v>
      </c>
      <c r="I221" s="58" t="n">
        <v>3</v>
      </c>
      <c r="J221" s="64">
        <f>MAX(I221-H221,0)</f>
        <v/>
      </c>
      <c r="K221" s="67" t="inlineStr">
        <is>
          <t>https://img.alicdn.com/bao/uploaded/i4/2217590670593/O1CN01cBHR1y1GFdpiMitRJ_!!2217590670593.jpg</t>
        </is>
      </c>
      <c r="L221" s="66" t="n"/>
    </row>
    <row r="222" ht="17" customHeight="1">
      <c r="A222" s="4" t="n">
        <v>219</v>
      </c>
      <c r="B222" s="4" t="inlineStr">
        <is>
          <t>NTF0310-M</t>
        </is>
      </c>
      <c r="C222" s="4" t="inlineStr">
        <is>
          <t>NTF-0310</t>
        </is>
      </c>
      <c r="D222" s="5" t="inlineStr">
        <is>
          <t>扭捏 原创设计立体植绒提花兔子吃蘑菇拼接半身裙 宽松显瘦百褶裙</t>
        </is>
      </c>
      <c r="E222" s="5" t="inlineStr">
        <is>
          <t>兔子蘑菇拼接裙</t>
        </is>
      </c>
      <c r="F222" s="4" t="inlineStr">
        <is>
          <t>M</t>
        </is>
      </c>
      <c r="G222" s="6" t="n">
        <v>398</v>
      </c>
      <c r="H222" s="21" t="n">
        <v>10</v>
      </c>
      <c r="I222" s="58" t="n">
        <v>3</v>
      </c>
      <c r="J222" s="64">
        <f>MAX(I222-H222,0)</f>
        <v/>
      </c>
      <c r="K222" s="65" t="inlineStr">
        <is>
          <t>https://img.alicdn.com/bao/uploaded/i4/2217590670593/O1CN01cBHR1y1GFdpiMitRJ_!!2217590670593.jpg</t>
        </is>
      </c>
      <c r="L222" s="66" t="n"/>
    </row>
    <row r="223" ht="17" customHeight="1">
      <c r="A223" s="8" t="n">
        <v>220</v>
      </c>
      <c r="B223" s="8" t="inlineStr">
        <is>
          <t>NTF0310-S</t>
        </is>
      </c>
      <c r="C223" s="8" t="inlineStr">
        <is>
          <t>NTF-0310</t>
        </is>
      </c>
      <c r="D223" s="9" t="inlineStr">
        <is>
          <t>扭捏 原创设计立体植绒提花兔子吃蘑菇拼接半身裙 宽松显瘦百褶裙</t>
        </is>
      </c>
      <c r="E223" s="9" t="inlineStr">
        <is>
          <t>兔子蘑菇拼接裙</t>
        </is>
      </c>
      <c r="F223" s="8" t="inlineStr">
        <is>
          <t>S</t>
        </is>
      </c>
      <c r="G223" s="10" t="n">
        <v>398</v>
      </c>
      <c r="H223" s="21" t="n">
        <v>1</v>
      </c>
      <c r="I223" s="58" t="n">
        <v>3</v>
      </c>
      <c r="J223" s="64">
        <f>MAX(I223-H223,0)</f>
        <v/>
      </c>
      <c r="K223" s="67" t="inlineStr">
        <is>
          <t>https://img.alicdn.com/bao/uploaded/i4/2217590670593/O1CN01cBHR1y1GFdpiMitRJ_!!2217590670593.jpg</t>
        </is>
      </c>
      <c r="L223" s="66" t="n"/>
    </row>
    <row r="224" ht="17" customHeight="1">
      <c r="A224" s="4" t="n">
        <v>221</v>
      </c>
      <c r="B224" s="4" t="inlineStr">
        <is>
          <t>NTF0317W-L</t>
        </is>
      </c>
      <c r="C224" s="4" t="inlineStr">
        <is>
          <t>NTF-0317</t>
        </is>
      </c>
      <c r="D224" s="5" t="inlineStr">
        <is>
          <t>扭捏 原创设计刺绣芭蕾风蓬蓬感宽松休闲裤 甜美白色褶皱花苞短裤</t>
        </is>
      </c>
      <c r="E224" s="5" t="inlineStr">
        <is>
          <t>刺绣花苞短裤</t>
        </is>
      </c>
      <c r="F224" s="4" t="inlineStr">
        <is>
          <t>L</t>
        </is>
      </c>
      <c r="G224" s="6" t="n">
        <v>268</v>
      </c>
      <c r="H224" s="21" t="n">
        <v>0</v>
      </c>
      <c r="I224" s="58" t="n">
        <v>3</v>
      </c>
      <c r="J224" s="64">
        <f>MAX(I224-H224,0)</f>
        <v/>
      </c>
      <c r="K224" s="65" t="inlineStr">
        <is>
          <t>https://img.alicdn.com/bao/uploaded/i3/2217590670593/O1CN01dmT3Ke1GFdpjQwVcR_!!2217590670593.jpg</t>
        </is>
      </c>
      <c r="L224" s="66" t="n"/>
    </row>
    <row r="225" ht="17" customHeight="1">
      <c r="A225" s="8" t="n">
        <v>222</v>
      </c>
      <c r="B225" s="8" t="inlineStr">
        <is>
          <t>NTF0317W-M</t>
        </is>
      </c>
      <c r="C225" s="8" t="inlineStr">
        <is>
          <t>NTF-0317</t>
        </is>
      </c>
      <c r="D225" s="9" t="inlineStr">
        <is>
          <t>扭捏 原创设计刺绣芭蕾风蓬蓬感宽松休闲裤 甜美白色褶皱花苞短裤</t>
        </is>
      </c>
      <c r="E225" s="9" t="inlineStr">
        <is>
          <t>刺绣花苞短裤</t>
        </is>
      </c>
      <c r="F225" s="8" t="inlineStr">
        <is>
          <t>M</t>
        </is>
      </c>
      <c r="G225" s="10" t="n">
        <v>268</v>
      </c>
      <c r="H225" s="21" t="n">
        <v>8</v>
      </c>
      <c r="I225" s="58" t="n">
        <v>3</v>
      </c>
      <c r="J225" s="64">
        <f>MAX(I225-H225,0)</f>
        <v/>
      </c>
      <c r="K225" s="67" t="inlineStr">
        <is>
          <t>https://img.alicdn.com/bao/uploaded/i3/2217590670593/O1CN01dmT3Ke1GFdpjQwVcR_!!2217590670593.jpg</t>
        </is>
      </c>
      <c r="L225" s="66" t="n"/>
    </row>
    <row r="226" ht="17" customHeight="1">
      <c r="A226" s="4" t="n">
        <v>223</v>
      </c>
      <c r="B226" s="4" t="inlineStr">
        <is>
          <t>NTF0317W-S</t>
        </is>
      </c>
      <c r="C226" s="4" t="inlineStr">
        <is>
          <t>NTF-0317</t>
        </is>
      </c>
      <c r="D226" s="5" t="inlineStr">
        <is>
          <t>扭捏 原创设计刺绣芭蕾风蓬蓬感宽松休闲裤 甜美白色褶皱花苞短裤</t>
        </is>
      </c>
      <c r="E226" s="5" t="inlineStr">
        <is>
          <t>刺绣花苞短裤</t>
        </is>
      </c>
      <c r="F226" s="4" t="inlineStr">
        <is>
          <t>S</t>
        </is>
      </c>
      <c r="G226" s="6" t="n">
        <v>268</v>
      </c>
      <c r="H226" s="21" t="n">
        <v>14</v>
      </c>
      <c r="I226" s="58" t="n">
        <v>3</v>
      </c>
      <c r="J226" s="64">
        <f>MAX(I226-H226,0)</f>
        <v/>
      </c>
      <c r="K226" s="65" t="inlineStr">
        <is>
          <t>https://img.alicdn.com/bao/uploaded/i3/2217590670593/O1CN01dmT3Ke1GFdpjQwVcR_!!2217590670593.jpg</t>
        </is>
      </c>
      <c r="L226" s="66" t="n"/>
    </row>
    <row r="227" ht="17" customHeight="1">
      <c r="A227" s="8" t="n">
        <v>224</v>
      </c>
      <c r="B227" s="8" t="inlineStr">
        <is>
          <t>NTF0501A-M</t>
        </is>
      </c>
      <c r="C227" s="8" t="inlineStr">
        <is>
          <t>NTF-0501A</t>
        </is>
      </c>
      <c r="D227" s="9" t="inlineStr">
        <is>
          <t>扭捏 拼接玫瑰法式蕾丝裙蝴蝶结绑带松紧腰 白色一片式a字半身裙</t>
        </is>
      </c>
      <c r="E227" s="9" t="inlineStr">
        <is>
          <t>白色刺绣一片式半裙</t>
        </is>
      </c>
      <c r="F227" s="8" t="inlineStr">
        <is>
          <t>M</t>
        </is>
      </c>
      <c r="G227" s="10" t="n">
        <v>368</v>
      </c>
      <c r="H227" s="21" t="n">
        <v>15</v>
      </c>
      <c r="I227" s="58" t="n">
        <v>3</v>
      </c>
      <c r="J227" s="64">
        <f>MAX(I227-H227,0)</f>
        <v/>
      </c>
      <c r="K227" s="67" t="inlineStr">
        <is>
          <t>https://img.alicdn.com/bao/uploaded/i2/2217590670593/O1CN01TqSozO1GFdpkJcGB8_!!2217590670593.jpg</t>
        </is>
      </c>
      <c r="L227" s="66" t="n"/>
    </row>
    <row r="228" ht="17" customHeight="1">
      <c r="A228" s="4" t="n">
        <v>225</v>
      </c>
      <c r="B228" s="4" t="inlineStr">
        <is>
          <t>NTF0501A-S</t>
        </is>
      </c>
      <c r="C228" s="4" t="inlineStr">
        <is>
          <t>NTF-0501A</t>
        </is>
      </c>
      <c r="D228" s="5" t="inlineStr">
        <is>
          <t>扭捏 拼接玫瑰法式蕾丝裙蝴蝶结绑带松紧腰 白色一片式a字半身裙</t>
        </is>
      </c>
      <c r="E228" s="5" t="inlineStr">
        <is>
          <t>白色刺绣一片式半裙</t>
        </is>
      </c>
      <c r="F228" s="4" t="inlineStr">
        <is>
          <t>S</t>
        </is>
      </c>
      <c r="G228" s="6" t="n">
        <v>368</v>
      </c>
      <c r="H228" s="21" t="n">
        <v>14</v>
      </c>
      <c r="I228" s="58" t="n">
        <v>3</v>
      </c>
      <c r="J228" s="64">
        <f>MAX(I228-H228,0)</f>
        <v/>
      </c>
      <c r="K228" s="65" t="inlineStr">
        <is>
          <t>https://img.alicdn.com/bao/uploaded/i2/2217590670593/O1CN01TqSozO1GFdpkJcGB8_!!2217590670593.jpg</t>
        </is>
      </c>
      <c r="L228" s="66" t="n"/>
    </row>
    <row r="229" ht="17" customHeight="1">
      <c r="A229" s="8" t="n">
        <v>226</v>
      </c>
      <c r="B229" s="8" t="inlineStr">
        <is>
          <t>NTF0335-L</t>
        </is>
      </c>
      <c r="C229" s="8" t="inlineStr">
        <is>
          <t>NTF-0335</t>
        </is>
      </c>
      <c r="D229" s="9" t="inlineStr">
        <is>
          <t>扭捏 印花刺绣白色蕾丝多层花边半身裙可拆卸背带裙夏季 原创设计</t>
        </is>
      </c>
      <c r="E229" s="9" t="inlineStr">
        <is>
          <t>背带 半身裙</t>
        </is>
      </c>
      <c r="F229" s="8" t="inlineStr">
        <is>
          <t>L</t>
        </is>
      </c>
      <c r="G229" s="10" t="n">
        <v>518</v>
      </c>
      <c r="H229" s="21" t="n">
        <v>0</v>
      </c>
      <c r="I229" s="58" t="n">
        <v>3</v>
      </c>
      <c r="J229" s="64">
        <f>MAX(I229-H229,0)</f>
        <v/>
      </c>
      <c r="K229" s="67" t="inlineStr">
        <is>
          <t>https://img.alicdn.com/bao/uploaded/i4/2217590670593/O1CN01zGDxqH1GFdpiW0m7P_!!2217590670593.jpg</t>
        </is>
      </c>
      <c r="L229" s="66" t="n"/>
    </row>
    <row r="230" ht="17" customHeight="1">
      <c r="A230" s="4" t="n">
        <v>227</v>
      </c>
      <c r="B230" s="4" t="inlineStr">
        <is>
          <t>NTF0335-M</t>
        </is>
      </c>
      <c r="C230" s="4" t="inlineStr">
        <is>
          <t>NTF-0335</t>
        </is>
      </c>
      <c r="D230" s="5" t="inlineStr">
        <is>
          <t>扭捏 印花刺绣白色蕾丝多层花边半身裙可拆卸背带裙夏季 原创设计</t>
        </is>
      </c>
      <c r="E230" s="5" t="inlineStr">
        <is>
          <t>背带 半身裙</t>
        </is>
      </c>
      <c r="F230" s="4" t="inlineStr">
        <is>
          <t>M</t>
        </is>
      </c>
      <c r="G230" s="6" t="n">
        <v>518</v>
      </c>
      <c r="H230" s="21" t="n">
        <v>0</v>
      </c>
      <c r="I230" s="58" t="n">
        <v>3</v>
      </c>
      <c r="J230" s="64">
        <f>MAX(I230-H230,0)</f>
        <v/>
      </c>
      <c r="K230" s="65" t="inlineStr">
        <is>
          <t>https://img.alicdn.com/bao/uploaded/i4/2217590670593/O1CN01zGDxqH1GFdpiW0m7P_!!2217590670593.jpg</t>
        </is>
      </c>
      <c r="L230" s="66" t="n"/>
    </row>
    <row r="231" ht="17" customHeight="1">
      <c r="A231" s="8" t="n">
        <v>228</v>
      </c>
      <c r="B231" s="8" t="inlineStr">
        <is>
          <t>NTF0335-S</t>
        </is>
      </c>
      <c r="C231" s="8" t="inlineStr">
        <is>
          <t>NTF-0335</t>
        </is>
      </c>
      <c r="D231" s="9" t="inlineStr">
        <is>
          <t>扭捏 印花刺绣白色蕾丝多层花边半身裙可拆卸背带裙夏季 原创设计</t>
        </is>
      </c>
      <c r="E231" s="9" t="inlineStr">
        <is>
          <t>背带 半身裙</t>
        </is>
      </c>
      <c r="F231" s="8" t="inlineStr">
        <is>
          <t>S</t>
        </is>
      </c>
      <c r="G231" s="10" t="n">
        <v>518</v>
      </c>
      <c r="H231" s="21" t="n">
        <v>0</v>
      </c>
      <c r="I231" s="58" t="n">
        <v>3</v>
      </c>
      <c r="J231" s="64">
        <f>MAX(I231-H231,0)</f>
        <v/>
      </c>
      <c r="K231" s="67" t="inlineStr">
        <is>
          <t>https://img.alicdn.com/bao/uploaded/i4/2217590670593/O1CN01zGDxqH1GFdpiW0m7P_!!2217590670593.jpg</t>
        </is>
      </c>
      <c r="L231" s="66" t="n"/>
    </row>
    <row r="232" ht="17" customHeight="1">
      <c r="A232" s="4" t="n">
        <v>229</v>
      </c>
      <c r="B232" s="4" t="inlineStr">
        <is>
          <t>NTF0303-M</t>
        </is>
      </c>
      <c r="C232" s="4" t="inlineStr">
        <is>
          <t>NTF-0303</t>
        </is>
      </c>
      <c r="D232" s="5" t="inlineStr">
        <is>
          <t>扭捏 草裙舞女孩 / 小众设计夏威夷感度假风松紧腰沙滩印花半身裙</t>
        </is>
      </c>
      <c r="E232" s="5" t="inlineStr">
        <is>
          <t>夏威夷沙滩裙</t>
        </is>
      </c>
      <c r="F232" s="4" t="inlineStr">
        <is>
          <t>M</t>
        </is>
      </c>
      <c r="G232" s="6" t="n">
        <v>298</v>
      </c>
      <c r="H232" s="21" t="n">
        <v>5</v>
      </c>
      <c r="I232" s="58" t="n">
        <v>3</v>
      </c>
      <c r="J232" s="64">
        <f>MAX(I232-H232,0)</f>
        <v/>
      </c>
      <c r="K232" s="65" t="inlineStr">
        <is>
          <t>https://img.alicdn.com/bao/uploaded/i1/2217590670593/O1CN01le57m01GFdpiT0H0Y_!!2217590670593.jpg</t>
        </is>
      </c>
      <c r="L232" s="66" t="n"/>
    </row>
    <row r="233" ht="17" customHeight="1">
      <c r="A233" s="8" t="n">
        <v>230</v>
      </c>
      <c r="B233" s="8" t="inlineStr">
        <is>
          <t>NTF0303-S</t>
        </is>
      </c>
      <c r="C233" s="8" t="inlineStr">
        <is>
          <t>NTF-0303</t>
        </is>
      </c>
      <c r="D233" s="9" t="inlineStr">
        <is>
          <t>扭捏 草裙舞女孩 / 小众设计夏威夷感度假风松紧腰沙滩印花半身裙</t>
        </is>
      </c>
      <c r="E233" s="9" t="inlineStr">
        <is>
          <t>夏威夷沙滩裙</t>
        </is>
      </c>
      <c r="F233" s="8" t="inlineStr">
        <is>
          <t>S</t>
        </is>
      </c>
      <c r="G233" s="10" t="n">
        <v>298</v>
      </c>
      <c r="H233" s="21" t="n">
        <v>4</v>
      </c>
      <c r="I233" s="58" t="n">
        <v>3</v>
      </c>
      <c r="J233" s="64">
        <f>MAX(I233-H233,0)</f>
        <v/>
      </c>
      <c r="K233" s="67" t="inlineStr">
        <is>
          <t>https://img.alicdn.com/bao/uploaded/i1/2217590670593/O1CN01le57m01GFdpiT0H0Y_!!2217590670593.jpg</t>
        </is>
      </c>
      <c r="L233" s="66" t="n"/>
    </row>
    <row r="234" ht="17" customHeight="1">
      <c r="A234" s="4" t="n">
        <v>231</v>
      </c>
      <c r="B234" s="4" t="inlineStr">
        <is>
          <t>NTF0315-L</t>
        </is>
      </c>
      <c r="C234" s="4" t="inlineStr">
        <is>
          <t>NTF-0315</t>
        </is>
      </c>
      <c r="D234" s="5" t="inlineStr">
        <is>
          <t>扭捏 荆棘玫瑰书本刺绣小翻领花边绑带衬衫 白色短袖上衣女夏季</t>
        </is>
      </c>
      <c r="E234" s="5" t="inlineStr">
        <is>
          <t>刺绣绑带小衫</t>
        </is>
      </c>
      <c r="F234" s="4" t="inlineStr">
        <is>
          <t>L</t>
        </is>
      </c>
      <c r="G234" s="6" t="n">
        <v>328</v>
      </c>
      <c r="H234" s="21" t="n">
        <v>2</v>
      </c>
      <c r="I234" s="58" t="n">
        <v>3</v>
      </c>
      <c r="J234" s="64">
        <f>MAX(I234-H234,0)</f>
        <v/>
      </c>
      <c r="K234" s="65" t="inlineStr">
        <is>
          <t>https://img.alicdn.com/bao/uploaded/i4/2217590670593/O1CN01bkF0Ap1GFdpf1hF5R_!!2217590670593.jpg</t>
        </is>
      </c>
      <c r="L234" s="66" t="n"/>
    </row>
    <row r="235" ht="17" customHeight="1">
      <c r="A235" s="8" t="n">
        <v>232</v>
      </c>
      <c r="B235" s="8" t="inlineStr">
        <is>
          <t>NTF0315-M</t>
        </is>
      </c>
      <c r="C235" s="8" t="inlineStr">
        <is>
          <t>NTF-0315</t>
        </is>
      </c>
      <c r="D235" s="9" t="inlineStr">
        <is>
          <t>扭捏 荆棘玫瑰书本刺绣小翻领花边绑带衬衫 白色短袖上衣女夏季</t>
        </is>
      </c>
      <c r="E235" s="9" t="inlineStr">
        <is>
          <t>刺绣绑带小衫</t>
        </is>
      </c>
      <c r="F235" s="8" t="inlineStr">
        <is>
          <t>M</t>
        </is>
      </c>
      <c r="G235" s="10" t="n">
        <v>328</v>
      </c>
      <c r="H235" s="21" t="n">
        <v>2</v>
      </c>
      <c r="I235" s="58" t="n">
        <v>3</v>
      </c>
      <c r="J235" s="64">
        <f>MAX(I235-H235,0)</f>
        <v/>
      </c>
      <c r="K235" s="67" t="inlineStr">
        <is>
          <t>https://img.alicdn.com/bao/uploaded/i4/2217590670593/O1CN01bkF0Ap1GFdpf1hF5R_!!2217590670593.jpg</t>
        </is>
      </c>
      <c r="L235" s="66" t="n"/>
    </row>
    <row r="236" ht="17" customHeight="1">
      <c r="A236" s="4" t="n">
        <v>233</v>
      </c>
      <c r="B236" s="4" t="inlineStr">
        <is>
          <t>NTF0315-S</t>
        </is>
      </c>
      <c r="C236" s="4" t="inlineStr">
        <is>
          <t>NTF-0315</t>
        </is>
      </c>
      <c r="D236" s="5" t="inlineStr">
        <is>
          <t>扭捏 荆棘玫瑰书本刺绣小翻领花边绑带衬衫 白色短袖上衣女夏季</t>
        </is>
      </c>
      <c r="E236" s="5" t="inlineStr">
        <is>
          <t>刺绣绑带小衫</t>
        </is>
      </c>
      <c r="F236" s="4" t="inlineStr">
        <is>
          <t>S</t>
        </is>
      </c>
      <c r="G236" s="6" t="n">
        <v>328</v>
      </c>
      <c r="H236" s="21" t="n">
        <v>2</v>
      </c>
      <c r="I236" s="58" t="n">
        <v>3</v>
      </c>
      <c r="J236" s="64">
        <f>MAX(I236-H236,0)</f>
        <v/>
      </c>
      <c r="K236" s="65" t="inlineStr">
        <is>
          <t>https://img.alicdn.com/bao/uploaded/i4/2217590670593/O1CN01bkF0Ap1GFdpf1hF5R_!!2217590670593.jpg</t>
        </is>
      </c>
      <c r="L236" s="66" t="n"/>
    </row>
    <row r="237" ht="17" customHeight="1">
      <c r="A237" s="8" t="n">
        <v>234</v>
      </c>
      <c r="B237" s="8" t="inlineStr">
        <is>
          <t>NTF0301C-M</t>
        </is>
      </c>
      <c r="C237" s="8" t="inlineStr">
        <is>
          <t>NTF-0301</t>
        </is>
      </c>
      <c r="D237" s="9" t="inlineStr">
        <is>
          <t>扭捏 青苹果印花修身显瘦圆领长袖T恤女夏 弹力网纱打底衫上衣</t>
        </is>
      </c>
      <c r="E237" s="9" t="inlineStr">
        <is>
          <t>半高领青苹果网纱上衣</t>
        </is>
      </c>
      <c r="F237" s="8" t="inlineStr">
        <is>
          <t>M</t>
        </is>
      </c>
      <c r="G237" s="10" t="n">
        <v>168</v>
      </c>
      <c r="H237" s="21" t="n">
        <v>6</v>
      </c>
      <c r="I237" s="58" t="n">
        <v>3</v>
      </c>
      <c r="J237" s="64">
        <f>MAX(I237-H237,0)</f>
        <v/>
      </c>
      <c r="K237" s="67" t="inlineStr">
        <is>
          <t>https://img.alicdn.com/bao/uploaded/i1/2217590670593/O1CN01YZUxU91GFdpiQ2eyD_!!2217590670593.jpg</t>
        </is>
      </c>
      <c r="L237" s="66" t="n"/>
    </row>
    <row r="238" ht="17" customHeight="1">
      <c r="A238" s="4" t="n">
        <v>235</v>
      </c>
      <c r="B238" s="4" t="inlineStr">
        <is>
          <t>NTF0301C-S</t>
        </is>
      </c>
      <c r="C238" s="4" t="inlineStr">
        <is>
          <t>NTF-0301</t>
        </is>
      </c>
      <c r="D238" s="5" t="inlineStr">
        <is>
          <t>扭捏 青苹果印花修身显瘦圆领长袖T恤女夏 弹力网纱打底衫上衣</t>
        </is>
      </c>
      <c r="E238" s="5" t="inlineStr">
        <is>
          <t>半高领青苹果网纱上衣</t>
        </is>
      </c>
      <c r="F238" s="4" t="inlineStr">
        <is>
          <t>S</t>
        </is>
      </c>
      <c r="G238" s="6" t="n">
        <v>168</v>
      </c>
      <c r="H238" s="21" t="n">
        <v>8</v>
      </c>
      <c r="I238" s="58" t="n">
        <v>3</v>
      </c>
      <c r="J238" s="64">
        <f>MAX(I238-H238,0)</f>
        <v/>
      </c>
      <c r="K238" s="65" t="inlineStr">
        <is>
          <t>https://img.alicdn.com/bao/uploaded/i1/2217590670593/O1CN01YZUxU91GFdpiQ2eyD_!!2217590670593.jpg</t>
        </is>
      </c>
      <c r="L238" s="66" t="n"/>
    </row>
    <row r="239" ht="17" customHeight="1">
      <c r="A239" s="8" t="n">
        <v>236</v>
      </c>
      <c r="B239" s="8" t="inlineStr">
        <is>
          <t>NTF0301B-M</t>
        </is>
      </c>
      <c r="C239" s="8" t="inlineStr">
        <is>
          <t>NTF-0301</t>
        </is>
      </c>
      <c r="D239" s="9" t="inlineStr">
        <is>
          <t>扭捏 青苹果印花修身显瘦圆领长袖T恤女夏 弹力网纱打底衫上衣</t>
        </is>
      </c>
      <c r="E239" s="9" t="inlineStr">
        <is>
          <t>圆领青苹果网纱上衣</t>
        </is>
      </c>
      <c r="F239" s="8" t="inlineStr">
        <is>
          <t>M</t>
        </is>
      </c>
      <c r="G239" s="10" t="n">
        <v>168</v>
      </c>
      <c r="H239" s="21" t="n">
        <v>0</v>
      </c>
      <c r="I239" s="58" t="n">
        <v>3</v>
      </c>
      <c r="J239" s="64">
        <f>MAX(I239-H239,0)</f>
        <v/>
      </c>
      <c r="K239" s="67" t="inlineStr">
        <is>
          <t>https://img.alicdn.com/bao/uploaded/i1/2217590670593/O1CN01YZUxU91GFdpiQ2eyD_!!2217590670593.jpg</t>
        </is>
      </c>
      <c r="L239" s="66" t="n"/>
    </row>
    <row r="240" ht="17" customHeight="1">
      <c r="A240" s="4" t="n">
        <v>237</v>
      </c>
      <c r="B240" s="4" t="inlineStr">
        <is>
          <t>NTF0301B-S</t>
        </is>
      </c>
      <c r="C240" s="4" t="inlineStr">
        <is>
          <t>NTF-0301</t>
        </is>
      </c>
      <c r="D240" s="5" t="inlineStr">
        <is>
          <t>扭捏 青苹果印花修身显瘦圆领长袖T恤女夏 弹力网纱打底衫上衣</t>
        </is>
      </c>
      <c r="E240" s="5" t="inlineStr">
        <is>
          <t>圆领青苹果网纱上衣</t>
        </is>
      </c>
      <c r="F240" s="4" t="inlineStr">
        <is>
          <t>S</t>
        </is>
      </c>
      <c r="G240" s="6" t="n">
        <v>168</v>
      </c>
      <c r="H240" s="21" t="n">
        <v>0</v>
      </c>
      <c r="I240" s="58" t="n">
        <v>3</v>
      </c>
      <c r="J240" s="64">
        <f>MAX(I240-H240,0)</f>
        <v/>
      </c>
      <c r="K240" s="65" t="inlineStr">
        <is>
          <t>https://img.alicdn.com/bao/uploaded/i1/2217590670593/O1CN01YZUxU91GFdpiQ2eyD_!!2217590670593.jpg</t>
        </is>
      </c>
      <c r="L240" s="66" t="n"/>
    </row>
    <row r="241" ht="17" customHeight="1">
      <c r="A241" s="8" t="n">
        <v>238</v>
      </c>
      <c r="B241" s="8" t="inlineStr">
        <is>
          <t>NTF0506W-M</t>
        </is>
      </c>
      <c r="C241" s="8" t="inlineStr">
        <is>
          <t>NTF-0506</t>
        </is>
      </c>
      <c r="D241" s="9" t="inlineStr">
        <is>
          <t>扭捏 NIU NIE 花的心跳 原创小众设计刺绣绑带宽松法式白色衬衫</t>
        </is>
      </c>
      <c r="E241" s="9" t="inlineStr">
        <is>
          <t>白色刺绣衬衫</t>
        </is>
      </c>
      <c r="F241" s="8" t="inlineStr">
        <is>
          <t>M</t>
        </is>
      </c>
      <c r="G241" s="10" t="n">
        <v>328</v>
      </c>
      <c r="H241" s="21" t="n">
        <v>0</v>
      </c>
      <c r="I241" s="58" t="n">
        <v>3</v>
      </c>
      <c r="J241" s="64">
        <f>MAX(I241-H241,0)</f>
        <v/>
      </c>
      <c r="K241" s="67" t="inlineStr">
        <is>
          <t>https://img.alicdn.com/bao/uploaded/i1/2217590670593/O1CN01D1mnFi1GFdpWvRMRV_!!2217590670593.jpg</t>
        </is>
      </c>
      <c r="L241" s="66" t="n"/>
    </row>
    <row r="242" ht="17" customHeight="1">
      <c r="A242" s="4" t="n">
        <v>239</v>
      </c>
      <c r="B242" s="4" t="inlineStr">
        <is>
          <t>NTF0506W-S</t>
        </is>
      </c>
      <c r="C242" s="4" t="inlineStr">
        <is>
          <t>NTF-0506</t>
        </is>
      </c>
      <c r="D242" s="5" t="inlineStr">
        <is>
          <t>扭捏 NIU NIE 花的心跳 原创小众设计刺绣绑带宽松法式白色衬衫</t>
        </is>
      </c>
      <c r="E242" s="5" t="inlineStr">
        <is>
          <t>白色刺绣衬衫</t>
        </is>
      </c>
      <c r="F242" s="4" t="inlineStr">
        <is>
          <t>S</t>
        </is>
      </c>
      <c r="G242" s="6" t="n">
        <v>328</v>
      </c>
      <c r="H242" s="21" t="n">
        <v>0</v>
      </c>
      <c r="I242" s="58" t="n">
        <v>3</v>
      </c>
      <c r="J242" s="64">
        <f>MAX(I242-H242,0)</f>
        <v/>
      </c>
      <c r="K242" s="65" t="inlineStr">
        <is>
          <t>https://img.alicdn.com/bao/uploaded/i1/2217590670593/O1CN01D1mnFi1GFdpWvRMRV_!!2217590670593.jpg</t>
        </is>
      </c>
      <c r="L242" s="66" t="n"/>
    </row>
    <row r="243" ht="17" customHeight="1">
      <c r="A243" s="8" t="n">
        <v>240</v>
      </c>
      <c r="B243" s="8" t="inlineStr">
        <is>
          <t>NTF0311W-L</t>
        </is>
      </c>
      <c r="C243" s="8" t="inlineStr">
        <is>
          <t>NTF-0311</t>
        </is>
      </c>
      <c r="D243" s="9" t="inlineStr">
        <is>
          <t>扭捏 少女的祈祷 花边拼接蛋糕a字小短裙白色半身裙 防走光内衬</t>
        </is>
      </c>
      <c r="E243" s="9" t="inlineStr">
        <is>
          <t>白色拼接短裙</t>
        </is>
      </c>
      <c r="F243" s="8" t="inlineStr">
        <is>
          <t>L</t>
        </is>
      </c>
      <c r="G243" s="10" t="n">
        <v>358</v>
      </c>
      <c r="H243" s="21" t="n">
        <v>0</v>
      </c>
      <c r="I243" s="58" t="n">
        <v>3</v>
      </c>
      <c r="J243" s="64">
        <f>MAX(I243-H243,0)</f>
        <v/>
      </c>
      <c r="K243" s="67" t="inlineStr">
        <is>
          <t>https://img.alicdn.com/bao/uploaded/i3/2217590670593/O1CN01q90Rk01GFdpW2UYab_!!2217590670593.jpg</t>
        </is>
      </c>
      <c r="L243" s="66" t="n"/>
    </row>
    <row r="244" ht="17" customHeight="1">
      <c r="A244" s="4" t="n">
        <v>241</v>
      </c>
      <c r="B244" s="4" t="inlineStr">
        <is>
          <t>NTF0311W-M</t>
        </is>
      </c>
      <c r="C244" s="4" t="inlineStr">
        <is>
          <t>NTF-0311</t>
        </is>
      </c>
      <c r="D244" s="5" t="inlineStr">
        <is>
          <t>扭捏 少女的祈祷 花边拼接蛋糕a字小短裙白色半身裙 防走光内衬</t>
        </is>
      </c>
      <c r="E244" s="5" t="inlineStr">
        <is>
          <t>白色拼接短裙</t>
        </is>
      </c>
      <c r="F244" s="4" t="inlineStr">
        <is>
          <t>M</t>
        </is>
      </c>
      <c r="G244" s="6" t="n">
        <v>358</v>
      </c>
      <c r="H244" s="21" t="n">
        <v>0</v>
      </c>
      <c r="I244" s="58" t="n">
        <v>3</v>
      </c>
      <c r="J244" s="64">
        <f>MAX(I244-H244,0)</f>
        <v/>
      </c>
      <c r="K244" s="65" t="inlineStr">
        <is>
          <t>https://img.alicdn.com/bao/uploaded/i3/2217590670593/O1CN01q90Rk01GFdpW2UYab_!!2217590670593.jpg</t>
        </is>
      </c>
      <c r="L244" s="66" t="n"/>
    </row>
    <row r="245" ht="17" customHeight="1">
      <c r="A245" s="8" t="n">
        <v>242</v>
      </c>
      <c r="B245" s="8" t="inlineStr">
        <is>
          <t>NTF0311W-S</t>
        </is>
      </c>
      <c r="C245" s="8" t="inlineStr">
        <is>
          <t>NTF-0311</t>
        </is>
      </c>
      <c r="D245" s="9" t="inlineStr">
        <is>
          <t>扭捏 少女的祈祷 花边拼接蛋糕a字小短裙白色半身裙 防走光内衬</t>
        </is>
      </c>
      <c r="E245" s="9" t="inlineStr">
        <is>
          <t>白色拼接短裙</t>
        </is>
      </c>
      <c r="F245" s="8" t="inlineStr">
        <is>
          <t>S</t>
        </is>
      </c>
      <c r="G245" s="10" t="n">
        <v>358</v>
      </c>
      <c r="H245" s="21" t="n">
        <v>0</v>
      </c>
      <c r="I245" s="58" t="n">
        <v>3</v>
      </c>
      <c r="J245" s="64">
        <f>MAX(I245-H245,0)</f>
        <v/>
      </c>
      <c r="K245" s="67" t="inlineStr">
        <is>
          <t>https://img.alicdn.com/bao/uploaded/i3/2217590670593/O1CN01q90Rk01GFdpW2UYab_!!2217590670593.jpg</t>
        </is>
      </c>
      <c r="L245" s="66" t="n"/>
    </row>
    <row r="246" ht="17" customHeight="1">
      <c r="A246" s="4" t="n">
        <v>243</v>
      </c>
      <c r="B246" s="4" t="inlineStr">
        <is>
          <t>NTF0515B-L</t>
        </is>
      </c>
      <c r="C246" s="4" t="inlineStr">
        <is>
          <t>NTF-0515</t>
        </is>
      </c>
      <c r="D246" s="5" t="inlineStr">
        <is>
          <t>扭捏 浅蓝色小兔子蘑菇刺绣基础百搭短袖上衣宽松弹力针织T恤女夏</t>
        </is>
      </c>
      <c r="E246" s="5" t="inlineStr">
        <is>
          <t>浅蓝色刺绣T恤</t>
        </is>
      </c>
      <c r="F246" s="4" t="inlineStr">
        <is>
          <t>L</t>
        </is>
      </c>
      <c r="G246" s="6" t="n">
        <v>198</v>
      </c>
      <c r="H246" s="21" t="n">
        <v>3</v>
      </c>
      <c r="I246" s="58" t="n">
        <v>3</v>
      </c>
      <c r="J246" s="64">
        <f>MAX(I246-H246,0)</f>
        <v/>
      </c>
      <c r="K246" s="65" t="inlineStr">
        <is>
          <t>https://img.alicdn.com/bao/uploaded/i3/2217590670593/O1CN01aFs6Tx1GFdpiaCW2R_!!2217590670593.jpg</t>
        </is>
      </c>
      <c r="L246" s="66" t="n"/>
    </row>
    <row r="247" ht="17" customHeight="1">
      <c r="A247" s="8" t="n">
        <v>244</v>
      </c>
      <c r="B247" s="8" t="inlineStr">
        <is>
          <t>NTF0515B-M</t>
        </is>
      </c>
      <c r="C247" s="8" t="inlineStr">
        <is>
          <t>NTF-0515</t>
        </is>
      </c>
      <c r="D247" s="9" t="inlineStr">
        <is>
          <t>扭捏 浅蓝色小兔子蘑菇刺绣基础百搭短袖上衣宽松弹力针织T恤女夏</t>
        </is>
      </c>
      <c r="E247" s="9" t="inlineStr">
        <is>
          <t>浅蓝色刺绣T恤</t>
        </is>
      </c>
      <c r="F247" s="8" t="inlineStr">
        <is>
          <t>M</t>
        </is>
      </c>
      <c r="G247" s="10" t="n">
        <v>198</v>
      </c>
      <c r="H247" s="21" t="n">
        <v>13</v>
      </c>
      <c r="I247" s="58" t="n">
        <v>3</v>
      </c>
      <c r="J247" s="64">
        <f>MAX(I247-H247,0)</f>
        <v/>
      </c>
      <c r="K247" s="67" t="inlineStr">
        <is>
          <t>https://img.alicdn.com/bao/uploaded/i3/2217590670593/O1CN01aFs6Tx1GFdpiaCW2R_!!2217590670593.jpg</t>
        </is>
      </c>
      <c r="L247" s="66" t="n"/>
    </row>
    <row r="248" ht="17" customHeight="1">
      <c r="A248" s="4" t="n">
        <v>245</v>
      </c>
      <c r="B248" s="4" t="inlineStr">
        <is>
          <t>NTF0515B-S</t>
        </is>
      </c>
      <c r="C248" s="4" t="inlineStr">
        <is>
          <t>NTF-0515</t>
        </is>
      </c>
      <c r="D248" s="5" t="inlineStr">
        <is>
          <t>扭捏 浅蓝色小兔子蘑菇刺绣基础百搭短袖上衣宽松弹力针织T恤女夏</t>
        </is>
      </c>
      <c r="E248" s="5" t="inlineStr">
        <is>
          <t>浅蓝色刺绣T恤</t>
        </is>
      </c>
      <c r="F248" s="4" t="inlineStr">
        <is>
          <t>S</t>
        </is>
      </c>
      <c r="G248" s="6" t="n">
        <v>198</v>
      </c>
      <c r="H248" s="21" t="n">
        <v>14</v>
      </c>
      <c r="I248" s="58" t="n">
        <v>3</v>
      </c>
      <c r="J248" s="64">
        <f>MAX(I248-H248,0)</f>
        <v/>
      </c>
      <c r="K248" s="65" t="inlineStr">
        <is>
          <t>https://img.alicdn.com/bao/uploaded/i3/2217590670593/O1CN01aFs6Tx1GFdpiaCW2R_!!2217590670593.jpg</t>
        </is>
      </c>
      <c r="L248" s="66" t="n"/>
    </row>
    <row r="249" ht="17" customHeight="1">
      <c r="A249" s="8" t="n">
        <v>246</v>
      </c>
      <c r="B249" s="8" t="inlineStr">
        <is>
          <t>NTF0307A-L</t>
        </is>
      </c>
      <c r="C249" s="8" t="inlineStr">
        <is>
          <t>NTF-0307A</t>
        </is>
      </c>
      <c r="D249" s="9" t="inlineStr">
        <is>
          <t>扭捏 可爱小猫印花蕾丝花边少女感百搭灰色圆领短袖T恤上衣</t>
        </is>
      </c>
      <c r="E249" s="9" t="inlineStr">
        <is>
          <t>灰色小猫T恤</t>
        </is>
      </c>
      <c r="F249" s="8" t="inlineStr">
        <is>
          <t>L</t>
        </is>
      </c>
      <c r="G249" s="10" t="n">
        <v>198</v>
      </c>
      <c r="H249" s="21" t="n">
        <v>3</v>
      </c>
      <c r="I249" s="58" t="n">
        <v>3</v>
      </c>
      <c r="J249" s="64">
        <f>MAX(I249-H249,0)</f>
        <v/>
      </c>
      <c r="K249" s="67" t="inlineStr">
        <is>
          <t>https://img.alicdn.com/bao/uploaded/i2/2217590670593/O1CN01fgwFKi1GFdqCIiAPK_!!2217590670593.jpg</t>
        </is>
      </c>
      <c r="L249" s="66" t="n"/>
    </row>
    <row r="250" ht="17" customHeight="1">
      <c r="A250" s="4" t="n">
        <v>247</v>
      </c>
      <c r="B250" s="4" t="inlineStr">
        <is>
          <t>NTF0307A-M</t>
        </is>
      </c>
      <c r="C250" s="4" t="inlineStr">
        <is>
          <t>NTF-0307A</t>
        </is>
      </c>
      <c r="D250" s="5" t="inlineStr">
        <is>
          <t>扭捏 可爱小猫印花蕾丝花边少女感百搭灰色圆领短袖T恤上衣</t>
        </is>
      </c>
      <c r="E250" s="5" t="inlineStr">
        <is>
          <t>灰色小猫T恤</t>
        </is>
      </c>
      <c r="F250" s="4" t="inlineStr">
        <is>
          <t>M</t>
        </is>
      </c>
      <c r="G250" s="6" t="n">
        <v>198</v>
      </c>
      <c r="H250" s="21" t="n">
        <v>16</v>
      </c>
      <c r="I250" s="58" t="n">
        <v>3</v>
      </c>
      <c r="J250" s="64">
        <f>MAX(I250-H250,0)</f>
        <v/>
      </c>
      <c r="K250" s="65" t="inlineStr">
        <is>
          <t>https://img.alicdn.com/bao/uploaded/i2/2217590670593/O1CN01fgwFKi1GFdqCIiAPK_!!2217590670593.jpg</t>
        </is>
      </c>
      <c r="L250" s="66" t="n"/>
    </row>
    <row r="251" ht="17" customHeight="1">
      <c r="A251" s="8" t="n">
        <v>248</v>
      </c>
      <c r="B251" s="8" t="inlineStr">
        <is>
          <t>NTF0307A-S</t>
        </is>
      </c>
      <c r="C251" s="8" t="inlineStr">
        <is>
          <t>NTF-0307A</t>
        </is>
      </c>
      <c r="D251" s="9" t="inlineStr">
        <is>
          <t>扭捏 可爱小猫印花蕾丝花边少女感百搭灰色圆领短袖T恤上衣</t>
        </is>
      </c>
      <c r="E251" s="9" t="inlineStr">
        <is>
          <t>灰色小猫T恤</t>
        </is>
      </c>
      <c r="F251" s="8" t="inlineStr">
        <is>
          <t>S</t>
        </is>
      </c>
      <c r="G251" s="10" t="n">
        <v>198</v>
      </c>
      <c r="H251" s="21" t="n">
        <v>11</v>
      </c>
      <c r="I251" s="58" t="n">
        <v>3</v>
      </c>
      <c r="J251" s="64">
        <f>MAX(I251-H251,0)</f>
        <v/>
      </c>
      <c r="K251" s="67" t="inlineStr">
        <is>
          <t>https://img.alicdn.com/bao/uploaded/i2/2217590670593/O1CN01fgwFKi1GFdqCIiAPK_!!2217590670593.jpg</t>
        </is>
      </c>
      <c r="L251" s="66" t="n"/>
    </row>
    <row r="252" ht="17" customHeight="1">
      <c r="A252" s="4" t="n">
        <v>249</v>
      </c>
      <c r="B252" s="4" t="inlineStr">
        <is>
          <t>NTF0512WB-M</t>
        </is>
      </c>
      <c r="C252" s="4" t="inlineStr">
        <is>
          <t>NTF-0512</t>
        </is>
      </c>
      <c r="D252" s="5" t="inlineStr">
        <is>
          <t>扭捏 法式设计感度假风仙女裙收腰显瘦粉蓝色碎花连衣裙女夏季</t>
        </is>
      </c>
      <c r="E252" s="5" t="inlineStr">
        <is>
          <t>粉蓝色碎花裙</t>
        </is>
      </c>
      <c r="F252" s="4" t="inlineStr">
        <is>
          <t>M</t>
        </is>
      </c>
      <c r="G252" s="6" t="n">
        <v>488</v>
      </c>
      <c r="H252" s="21" t="n">
        <v>3</v>
      </c>
      <c r="I252" s="58" t="n">
        <v>3</v>
      </c>
      <c r="J252" s="64">
        <f>MAX(I252-H252,0)</f>
        <v/>
      </c>
      <c r="K252" s="65" t="inlineStr">
        <is>
          <t>https://img.alicdn.com/bao/uploaded/i2/2217590670593/O1CN01JxKyk01GFdpW9Y4QY_!!2217590670593.jpg</t>
        </is>
      </c>
      <c r="L252" s="66" t="n"/>
    </row>
    <row r="253" ht="17" customHeight="1">
      <c r="A253" s="8" t="n">
        <v>250</v>
      </c>
      <c r="B253" s="8" t="inlineStr">
        <is>
          <t>NTF0512WB-S</t>
        </is>
      </c>
      <c r="C253" s="8" t="inlineStr">
        <is>
          <t>NTF-0512</t>
        </is>
      </c>
      <c r="D253" s="9" t="inlineStr">
        <is>
          <t>扭捏 法式设计感度假风仙女裙收腰显瘦粉蓝色碎花连衣裙女夏季</t>
        </is>
      </c>
      <c r="E253" s="9" t="inlineStr">
        <is>
          <t>粉蓝色碎花裙</t>
        </is>
      </c>
      <c r="F253" s="8" t="inlineStr">
        <is>
          <t>S</t>
        </is>
      </c>
      <c r="G253" s="10" t="n">
        <v>488</v>
      </c>
      <c r="H253" s="21" t="n">
        <v>8</v>
      </c>
      <c r="I253" s="58" t="n">
        <v>3</v>
      </c>
      <c r="J253" s="64">
        <f>MAX(I253-H253,0)</f>
        <v/>
      </c>
      <c r="K253" s="67" t="inlineStr">
        <is>
          <t>https://img.alicdn.com/bao/uploaded/i2/2217590670593/O1CN01JxKyk01GFdpW9Y4QY_!!2217590670593.jpg</t>
        </is>
      </c>
      <c r="L253" s="66" t="n"/>
    </row>
    <row r="254" ht="17" customHeight="1">
      <c r="A254" s="4" t="n">
        <v>251</v>
      </c>
      <c r="B254" s="4" t="inlineStr">
        <is>
          <t>NTF0305W-L</t>
        </is>
      </c>
      <c r="C254" s="4" t="inlineStr">
        <is>
          <t>NTF-0305</t>
        </is>
      </c>
      <c r="D254" s="5" t="inlineStr">
        <is>
          <t>扭捏 真丝棉混纺轻薄法式白衬衫 玫瑰花边荷叶领复古宽松长袖上衣</t>
        </is>
      </c>
      <c r="E254" s="5" t="inlineStr">
        <is>
          <t>白色花边衬衫</t>
        </is>
      </c>
      <c r="F254" s="4" t="inlineStr">
        <is>
          <t>L</t>
        </is>
      </c>
      <c r="G254" s="6" t="n">
        <v>428</v>
      </c>
      <c r="H254" s="21" t="n">
        <v>0</v>
      </c>
      <c r="I254" s="58" t="n">
        <v>3</v>
      </c>
      <c r="J254" s="64">
        <f>MAX(I254-H254,0)</f>
        <v/>
      </c>
      <c r="K254" s="65" t="inlineStr">
        <is>
          <t>https://img.alicdn.com/bao/uploaded/i1/2217590670593/O1CN01KrbK0i1GFdpiapeNw_!!2217590670593.jpg</t>
        </is>
      </c>
      <c r="L254" s="66" t="n"/>
    </row>
    <row r="255" ht="17" customHeight="1">
      <c r="A255" s="8" t="n">
        <v>252</v>
      </c>
      <c r="B255" s="8" t="inlineStr">
        <is>
          <t>NTF0305W-M</t>
        </is>
      </c>
      <c r="C255" s="8" t="inlineStr">
        <is>
          <t>NTF-0305</t>
        </is>
      </c>
      <c r="D255" s="9" t="inlineStr">
        <is>
          <t>扭捏 真丝棉混纺轻薄法式白衬衫 玫瑰花边荷叶领复古宽松长袖上衣</t>
        </is>
      </c>
      <c r="E255" s="9" t="inlineStr">
        <is>
          <t>白色花边衬衫</t>
        </is>
      </c>
      <c r="F255" s="8" t="inlineStr">
        <is>
          <t>M</t>
        </is>
      </c>
      <c r="G255" s="10" t="n">
        <v>428</v>
      </c>
      <c r="H255" s="21" t="n">
        <v>0</v>
      </c>
      <c r="I255" s="58" t="n">
        <v>3</v>
      </c>
      <c r="J255" s="64">
        <f>MAX(I255-H255,0)</f>
        <v/>
      </c>
      <c r="K255" s="67" t="inlineStr">
        <is>
          <t>https://img.alicdn.com/bao/uploaded/i1/2217590670593/O1CN01KrbK0i1GFdpiapeNw_!!2217590670593.jpg</t>
        </is>
      </c>
      <c r="L255" s="66" t="n"/>
    </row>
    <row r="256" ht="17" customHeight="1">
      <c r="A256" s="4" t="n">
        <v>253</v>
      </c>
      <c r="B256" s="4" t="inlineStr">
        <is>
          <t>NTF0305W-S</t>
        </is>
      </c>
      <c r="C256" s="4" t="inlineStr">
        <is>
          <t>NTF-0305</t>
        </is>
      </c>
      <c r="D256" s="5" t="inlineStr">
        <is>
          <t>扭捏 真丝棉混纺轻薄法式白衬衫 玫瑰花边荷叶领复古宽松长袖上衣</t>
        </is>
      </c>
      <c r="E256" s="5" t="inlineStr">
        <is>
          <t>白色花边衬衫</t>
        </is>
      </c>
      <c r="F256" s="4" t="inlineStr">
        <is>
          <t>S</t>
        </is>
      </c>
      <c r="G256" s="6" t="n">
        <v>428</v>
      </c>
      <c r="H256" s="21" t="n">
        <v>0</v>
      </c>
      <c r="I256" s="58" t="n">
        <v>3</v>
      </c>
      <c r="J256" s="64">
        <f>MAX(I256-H256,0)</f>
        <v/>
      </c>
      <c r="K256" s="65" t="inlineStr">
        <is>
          <t>https://img.alicdn.com/bao/uploaded/i1/2217590670593/O1CN01KrbK0i1GFdpiapeNw_!!2217590670593.jpg</t>
        </is>
      </c>
      <c r="L256" s="66" t="n"/>
    </row>
    <row r="257" ht="17" customHeight="1">
      <c r="A257" s="8" t="n">
        <v>254</v>
      </c>
      <c r="B257" s="8" t="inlineStr">
        <is>
          <t>NTF0335A-L</t>
        </is>
      </c>
      <c r="C257" s="8" t="inlineStr">
        <is>
          <t>NTF-0335</t>
        </is>
      </c>
      <c r="D257" s="9" t="inlineStr">
        <is>
          <t>扭捏 印花刺绣白色蕾丝多层花边半身裙可拆卸背带裙夏季 原创设计</t>
        </is>
      </c>
      <c r="E257" s="9" t="inlineStr">
        <is>
          <t>可拆卸背带</t>
        </is>
      </c>
      <c r="F257" s="8" t="inlineStr">
        <is>
          <t>L</t>
        </is>
      </c>
      <c r="G257" s="10" t="n">
        <v>128</v>
      </c>
      <c r="H257" s="21" t="n">
        <v>6</v>
      </c>
      <c r="I257" s="58" t="n">
        <v>3</v>
      </c>
      <c r="J257" s="64">
        <f>MAX(I257-H257,0)</f>
        <v/>
      </c>
      <c r="K257" s="67" t="inlineStr">
        <is>
          <t>https://img.alicdn.com/bao/uploaded/i4/2217590670593/O1CN01zGDxqH1GFdpiW0m7P_!!2217590670593.jpg</t>
        </is>
      </c>
      <c r="L257" s="66" t="n"/>
    </row>
    <row r="258" ht="17" customHeight="1">
      <c r="A258" s="4" t="n">
        <v>255</v>
      </c>
      <c r="B258" s="4" t="inlineStr">
        <is>
          <t>NTF0335A-M</t>
        </is>
      </c>
      <c r="C258" s="4" t="inlineStr">
        <is>
          <t>NTF-0335</t>
        </is>
      </c>
      <c r="D258" s="5" t="inlineStr">
        <is>
          <t>扭捏 印花刺绣白色蕾丝多层花边半身裙可拆卸背带裙夏季 原创设计</t>
        </is>
      </c>
      <c r="E258" s="5" t="inlineStr">
        <is>
          <t>可拆卸背带</t>
        </is>
      </c>
      <c r="F258" s="4" t="inlineStr">
        <is>
          <t>M</t>
        </is>
      </c>
      <c r="G258" s="6" t="n">
        <v>128</v>
      </c>
      <c r="H258" s="21" t="n">
        <v>2</v>
      </c>
      <c r="I258" s="58" t="n">
        <v>3</v>
      </c>
      <c r="J258" s="64">
        <f>MAX(I258-H258,0)</f>
        <v/>
      </c>
      <c r="K258" s="65" t="inlineStr">
        <is>
          <t>https://img.alicdn.com/bao/uploaded/i4/2217590670593/O1CN01zGDxqH1GFdpiW0m7P_!!2217590670593.jpg</t>
        </is>
      </c>
      <c r="L258" s="66" t="n"/>
    </row>
    <row r="259" ht="17" customHeight="1">
      <c r="A259" s="8" t="n">
        <v>256</v>
      </c>
      <c r="B259" s="8" t="inlineStr">
        <is>
          <t>NTF0335A-S</t>
        </is>
      </c>
      <c r="C259" s="8" t="inlineStr">
        <is>
          <t>NTF-0335</t>
        </is>
      </c>
      <c r="D259" s="9" t="inlineStr">
        <is>
          <t>扭捏 印花刺绣白色蕾丝多层花边半身裙可拆卸背带裙夏季 原创设计</t>
        </is>
      </c>
      <c r="E259" s="9" t="inlineStr">
        <is>
          <t>可拆卸背带</t>
        </is>
      </c>
      <c r="F259" s="8" t="inlineStr">
        <is>
          <t>S</t>
        </is>
      </c>
      <c r="G259" s="10" t="n">
        <v>128</v>
      </c>
      <c r="H259" s="21" t="n">
        <v>10</v>
      </c>
      <c r="I259" s="58" t="n">
        <v>3</v>
      </c>
      <c r="J259" s="64">
        <f>MAX(I259-H259,0)</f>
        <v/>
      </c>
      <c r="K259" s="67" t="inlineStr">
        <is>
          <t>https://img.alicdn.com/bao/uploaded/i4/2217590670593/O1CN01zGDxqH1GFdpiW0m7P_!!2217590670593.jpg</t>
        </is>
      </c>
      <c r="L259" s="66" t="n"/>
    </row>
    <row r="260" ht="17" customHeight="1">
      <c r="A260" s="4" t="n">
        <v>257</v>
      </c>
      <c r="B260" s="4" t="inlineStr">
        <is>
          <t>NTF0335B-L</t>
        </is>
      </c>
      <c r="C260" s="4" t="inlineStr">
        <is>
          <t>NTF-0335</t>
        </is>
      </c>
      <c r="D260" s="5" t="inlineStr">
        <is>
          <t>扭捏 印花刺绣白色蕾丝多层花边半身裙可拆卸背带裙夏季 原创设计</t>
        </is>
      </c>
      <c r="E260" s="5" t="inlineStr">
        <is>
          <t>多层花边半身裙</t>
        </is>
      </c>
      <c r="F260" s="4" t="inlineStr">
        <is>
          <t>L</t>
        </is>
      </c>
      <c r="G260" s="6" t="n">
        <v>398</v>
      </c>
      <c r="H260" s="21" t="n">
        <v>13</v>
      </c>
      <c r="I260" s="58" t="n">
        <v>3</v>
      </c>
      <c r="J260" s="64">
        <f>MAX(I260-H260,0)</f>
        <v/>
      </c>
      <c r="K260" s="65" t="inlineStr">
        <is>
          <t>https://img.alicdn.com/bao/uploaded/i4/2217590670593/O1CN01zGDxqH1GFdpiW0m7P_!!2217590670593.jpg</t>
        </is>
      </c>
      <c r="L260" s="66" t="n"/>
    </row>
    <row r="261" ht="17" customHeight="1">
      <c r="A261" s="8" t="n">
        <v>258</v>
      </c>
      <c r="B261" s="8" t="inlineStr">
        <is>
          <t>NTF0335B-M</t>
        </is>
      </c>
      <c r="C261" s="8" t="inlineStr">
        <is>
          <t>NTF-0335</t>
        </is>
      </c>
      <c r="D261" s="9" t="inlineStr">
        <is>
          <t>扭捏 印花刺绣白色蕾丝多层花边半身裙可拆卸背带裙夏季 原创设计</t>
        </is>
      </c>
      <c r="E261" s="9" t="inlineStr">
        <is>
          <t>多层花边半身裙</t>
        </is>
      </c>
      <c r="F261" s="8" t="inlineStr">
        <is>
          <t>M</t>
        </is>
      </c>
      <c r="G261" s="10" t="n">
        <v>398</v>
      </c>
      <c r="H261" s="21" t="n">
        <v>8</v>
      </c>
      <c r="I261" s="58" t="n">
        <v>3</v>
      </c>
      <c r="J261" s="64">
        <f>MAX(I261-H261,0)</f>
        <v/>
      </c>
      <c r="K261" s="67" t="inlineStr">
        <is>
          <t>https://img.alicdn.com/bao/uploaded/i4/2217590670593/O1CN01zGDxqH1GFdpiW0m7P_!!2217590670593.jpg</t>
        </is>
      </c>
      <c r="L261" s="66" t="n"/>
    </row>
    <row r="262" ht="17" customHeight="1">
      <c r="A262" s="4" t="n">
        <v>259</v>
      </c>
      <c r="B262" s="4" t="inlineStr">
        <is>
          <t>NTF0335B-S</t>
        </is>
      </c>
      <c r="C262" s="4" t="inlineStr">
        <is>
          <t>NTF-0335</t>
        </is>
      </c>
      <c r="D262" s="5" t="inlineStr">
        <is>
          <t>扭捏 印花刺绣白色蕾丝多层花边半身裙可拆卸背带裙夏季 原创设计</t>
        </is>
      </c>
      <c r="E262" s="5" t="inlineStr">
        <is>
          <t>多层花边半身裙</t>
        </is>
      </c>
      <c r="F262" s="4" t="inlineStr">
        <is>
          <t>S</t>
        </is>
      </c>
      <c r="G262" s="6" t="n">
        <v>398</v>
      </c>
      <c r="H262" s="21" t="n">
        <v>7</v>
      </c>
      <c r="I262" s="58" t="n">
        <v>3</v>
      </c>
      <c r="J262" s="64">
        <f>MAX(I262-H262,0)</f>
        <v/>
      </c>
      <c r="K262" s="65" t="inlineStr">
        <is>
          <t>https://img.alicdn.com/bao/uploaded/i4/2217590670593/O1CN01zGDxqH1GFdpiW0m7P_!!2217590670593.jpg</t>
        </is>
      </c>
      <c r="L262" s="66" t="n"/>
    </row>
    <row r="263" ht="17" customHeight="1">
      <c r="A263" s="8" t="n">
        <v>260</v>
      </c>
      <c r="B263" s="8" t="inlineStr">
        <is>
          <t>NTF0338B-G-M</t>
        </is>
      </c>
      <c r="C263" s="8" t="inlineStr">
        <is>
          <t>NTF-0338</t>
        </is>
      </c>
      <c r="D263" s="9" t="inlineStr">
        <is>
          <t>扭捏 绿色植物染艺术感提花褶皱吊带背心半身长裙套装女夏季</t>
        </is>
      </c>
      <c r="E263" s="9" t="inlineStr">
        <is>
          <t>植物染绿色系半身裙</t>
        </is>
      </c>
      <c r="F263" s="8" t="inlineStr">
        <is>
          <t>M</t>
        </is>
      </c>
      <c r="G263" s="10" t="n">
        <v>458</v>
      </c>
      <c r="H263" s="21" t="n">
        <v>5</v>
      </c>
      <c r="I263" s="58" t="n">
        <v>3</v>
      </c>
      <c r="J263" s="64">
        <f>MAX(I263-H263,0)</f>
        <v/>
      </c>
      <c r="K263" s="67" t="inlineStr">
        <is>
          <t>https://img.alicdn.com/bao/uploaded/i2/2217590670593/O1CN015sQMKG1GFdphNWeJz_!!2217590670593.jpg</t>
        </is>
      </c>
      <c r="L263" s="66" t="n"/>
    </row>
    <row r="264" ht="17" customHeight="1">
      <c r="A264" s="4" t="n">
        <v>261</v>
      </c>
      <c r="B264" s="4" t="inlineStr">
        <is>
          <t>NTF0338B-G-S</t>
        </is>
      </c>
      <c r="C264" s="4" t="inlineStr">
        <is>
          <t>NTF-0338</t>
        </is>
      </c>
      <c r="D264" s="5" t="inlineStr">
        <is>
          <t>扭捏 绿色植物染艺术感提花褶皱吊带背心半身长裙套装女夏季</t>
        </is>
      </c>
      <c r="E264" s="5" t="inlineStr">
        <is>
          <t>植物染绿色系半身裙</t>
        </is>
      </c>
      <c r="F264" s="4" t="inlineStr">
        <is>
          <t>S</t>
        </is>
      </c>
      <c r="G264" s="6" t="n">
        <v>458</v>
      </c>
      <c r="H264" s="21" t="n">
        <v>0</v>
      </c>
      <c r="I264" s="58" t="n">
        <v>3</v>
      </c>
      <c r="J264" s="64">
        <f>MAX(I264-H264,0)</f>
        <v/>
      </c>
      <c r="K264" s="65" t="inlineStr">
        <is>
          <t>https://img.alicdn.com/bao/uploaded/i2/2217590670593/O1CN015sQMKG1GFdphNWeJz_!!2217590670593.jpg</t>
        </is>
      </c>
      <c r="L264" s="66" t="n"/>
    </row>
    <row r="265" ht="17" customHeight="1">
      <c r="A265" s="8" t="n">
        <v>262</v>
      </c>
      <c r="B265" s="8" t="inlineStr">
        <is>
          <t>NTF0338A-G-M</t>
        </is>
      </c>
      <c r="C265" s="8" t="inlineStr">
        <is>
          <t>NTF-0338</t>
        </is>
      </c>
      <c r="D265" s="9" t="inlineStr">
        <is>
          <t>扭捏 绿色植物染艺术感提花褶皱吊带背心半身长裙套装女夏季</t>
        </is>
      </c>
      <c r="E265" s="9" t="inlineStr">
        <is>
          <t>植物染绿色系背心</t>
        </is>
      </c>
      <c r="F265" s="8" t="inlineStr">
        <is>
          <t>M</t>
        </is>
      </c>
      <c r="G265" s="10" t="n">
        <v>298</v>
      </c>
      <c r="H265" s="21" t="n">
        <v>7</v>
      </c>
      <c r="I265" s="58" t="n">
        <v>3</v>
      </c>
      <c r="J265" s="64">
        <f>MAX(I265-H265,0)</f>
        <v/>
      </c>
      <c r="K265" s="67" t="inlineStr">
        <is>
          <t>https://img.alicdn.com/bao/uploaded/i2/2217590670593/O1CN015sQMKG1GFdphNWeJz_!!2217590670593.jpg</t>
        </is>
      </c>
      <c r="L265" s="66" t="n"/>
    </row>
    <row r="266" ht="17" customHeight="1">
      <c r="A266" s="4" t="n">
        <v>263</v>
      </c>
      <c r="B266" s="4" t="inlineStr">
        <is>
          <t>NTF0338A-G-S</t>
        </is>
      </c>
      <c r="C266" s="4" t="inlineStr">
        <is>
          <t>NTF-0338</t>
        </is>
      </c>
      <c r="D266" s="5" t="inlineStr">
        <is>
          <t>扭捏 绿色植物染艺术感提花褶皱吊带背心半身长裙套装女夏季</t>
        </is>
      </c>
      <c r="E266" s="5" t="inlineStr">
        <is>
          <t>植物染绿色系背心</t>
        </is>
      </c>
      <c r="F266" s="4" t="inlineStr">
        <is>
          <t>S</t>
        </is>
      </c>
      <c r="G266" s="6" t="n">
        <v>298</v>
      </c>
      <c r="H266" s="21" t="n">
        <v>1</v>
      </c>
      <c r="I266" s="58" t="n">
        <v>3</v>
      </c>
      <c r="J266" s="64">
        <f>MAX(I266-H266,0)</f>
        <v/>
      </c>
      <c r="K266" s="65" t="inlineStr">
        <is>
          <t>https://img.alicdn.com/bao/uploaded/i2/2217590670593/O1CN015sQMKG1GFdphNWeJz_!!2217590670593.jpg</t>
        </is>
      </c>
      <c r="L266" s="66" t="n"/>
    </row>
    <row r="267" ht="17" customHeight="1">
      <c r="A267" s="8" t="n">
        <v>264</v>
      </c>
      <c r="B267" s="8" t="inlineStr">
        <is>
          <t>NTF0503L-M</t>
        </is>
      </c>
      <c r="C267" s="8" t="inlineStr">
        <is>
          <t>NTF-0503</t>
        </is>
      </c>
      <c r="D267" s="9" t="inlineStr">
        <is>
          <t>扭捏 慵懒度假风葡萄印花文艺复古宽松绿色拼接棉麻背带裙背心裙</t>
        </is>
      </c>
      <c r="E267" s="9" t="inlineStr">
        <is>
          <t>葡萄拼接背带裙</t>
        </is>
      </c>
      <c r="F267" s="8" t="inlineStr">
        <is>
          <t>M</t>
        </is>
      </c>
      <c r="G267" s="10" t="n">
        <v>398</v>
      </c>
      <c r="H267" s="21" t="n">
        <v>6</v>
      </c>
      <c r="I267" s="58" t="n">
        <v>3</v>
      </c>
      <c r="J267" s="64">
        <f>MAX(I267-H267,0)</f>
        <v/>
      </c>
      <c r="K267" s="67" t="inlineStr">
        <is>
          <t>https://img.alicdn.com/bao/uploaded/i1/2217590670593/O1CN01odaeDC1GFdpZQVrxf_!!2217590670593.jpg</t>
        </is>
      </c>
      <c r="L267" s="66" t="n"/>
    </row>
    <row r="268" ht="17" customHeight="1">
      <c r="A268" s="4" t="n">
        <v>265</v>
      </c>
      <c r="B268" s="4" t="inlineStr">
        <is>
          <t>NTF0503L-S</t>
        </is>
      </c>
      <c r="C268" s="4" t="inlineStr">
        <is>
          <t>NTF-0503</t>
        </is>
      </c>
      <c r="D268" s="5" t="inlineStr">
        <is>
          <t>扭捏 慵懒度假风葡萄印花文艺复古宽松绿色拼接棉麻背带裙背心裙</t>
        </is>
      </c>
      <c r="E268" s="5" t="inlineStr">
        <is>
          <t>葡萄拼接背带裙</t>
        </is>
      </c>
      <c r="F268" s="4" t="inlineStr">
        <is>
          <t>S</t>
        </is>
      </c>
      <c r="G268" s="6" t="n">
        <v>398</v>
      </c>
      <c r="H268" s="21" t="n">
        <v>10</v>
      </c>
      <c r="I268" s="58" t="n">
        <v>3</v>
      </c>
      <c r="J268" s="64">
        <f>MAX(I268-H268,0)</f>
        <v/>
      </c>
      <c r="K268" s="65" t="inlineStr">
        <is>
          <t>https://img.alicdn.com/bao/uploaded/i1/2217590670593/O1CN01odaeDC1GFdpZQVrxf_!!2217590670593.jpg</t>
        </is>
      </c>
      <c r="L268" s="66" t="n"/>
    </row>
    <row r="269" ht="17" customHeight="1">
      <c r="A269" s="8" t="n">
        <v>266</v>
      </c>
      <c r="B269" s="8" t="inlineStr">
        <is>
          <t>NTF0307B-L</t>
        </is>
      </c>
      <c r="C269" s="8" t="inlineStr">
        <is>
          <t>NTF-0307B</t>
        </is>
      </c>
      <c r="D269" s="9" t="inlineStr">
        <is>
          <t>扭捏  原创设计蕾丝花边法式复古白色玫瑰印花圆领T恤短袖上衣夏</t>
        </is>
      </c>
      <c r="E269" s="9" t="inlineStr">
        <is>
          <t>白色玫瑰T恤</t>
        </is>
      </c>
      <c r="F269" s="8" t="inlineStr">
        <is>
          <t>L</t>
        </is>
      </c>
      <c r="G269" s="10" t="n">
        <v>198</v>
      </c>
      <c r="H269" s="21" t="n">
        <v>1</v>
      </c>
      <c r="I269" s="58" t="n">
        <v>3</v>
      </c>
      <c r="J269" s="64">
        <f>MAX(I269-H269,0)</f>
        <v/>
      </c>
      <c r="K269" s="67" t="inlineStr">
        <is>
          <t>https://img.alicdn.com/bao/uploaded/i1/2217590670593/O1CN01Wln9D01GFdpkOeMro_!!2217590670593.jpg</t>
        </is>
      </c>
      <c r="L269" s="66" t="n"/>
    </row>
    <row r="270" ht="17" customHeight="1">
      <c r="A270" s="4" t="n">
        <v>267</v>
      </c>
      <c r="B270" s="4" t="inlineStr">
        <is>
          <t>NTF0307B-M</t>
        </is>
      </c>
      <c r="C270" s="4" t="inlineStr">
        <is>
          <t>NTF-0307B</t>
        </is>
      </c>
      <c r="D270" s="5" t="inlineStr">
        <is>
          <t>扭捏  原创设计蕾丝花边法式复古白色玫瑰印花圆领T恤短袖上衣夏</t>
        </is>
      </c>
      <c r="E270" s="5" t="inlineStr">
        <is>
          <t>白色玫瑰T恤</t>
        </is>
      </c>
      <c r="F270" s="4" t="inlineStr">
        <is>
          <t>M</t>
        </is>
      </c>
      <c r="G270" s="6" t="n">
        <v>198</v>
      </c>
      <c r="H270" s="21" t="n">
        <v>5</v>
      </c>
      <c r="I270" s="58" t="n">
        <v>3</v>
      </c>
      <c r="J270" s="64">
        <f>MAX(I270-H270,0)</f>
        <v/>
      </c>
      <c r="K270" s="65" t="inlineStr">
        <is>
          <t>https://img.alicdn.com/bao/uploaded/i1/2217590670593/O1CN01Wln9D01GFdpkOeMro_!!2217590670593.jpg</t>
        </is>
      </c>
      <c r="L270" s="66" t="n"/>
    </row>
    <row r="271" ht="17" customHeight="1">
      <c r="A271" s="8" t="n">
        <v>268</v>
      </c>
      <c r="B271" s="8" t="inlineStr">
        <is>
          <t>NTF0307B-S</t>
        </is>
      </c>
      <c r="C271" s="8" t="inlineStr">
        <is>
          <t>NTF-0307B</t>
        </is>
      </c>
      <c r="D271" s="9" t="inlineStr">
        <is>
          <t>扭捏  原创设计蕾丝花边法式复古白色玫瑰印花圆领T恤短袖上衣夏</t>
        </is>
      </c>
      <c r="E271" s="9" t="inlineStr">
        <is>
          <t>白色玫瑰T恤</t>
        </is>
      </c>
      <c r="F271" s="8" t="inlineStr">
        <is>
          <t>S</t>
        </is>
      </c>
      <c r="G271" s="10" t="n">
        <v>198</v>
      </c>
      <c r="H271" s="21" t="n">
        <v>3</v>
      </c>
      <c r="I271" s="58" t="n">
        <v>3</v>
      </c>
      <c r="J271" s="64">
        <f>MAX(I271-H271,0)</f>
        <v/>
      </c>
      <c r="K271" s="67" t="inlineStr">
        <is>
          <t>https://img.alicdn.com/bao/uploaded/i1/2217590670593/O1CN01Wln9D01GFdpkOeMro_!!2217590670593.jpg</t>
        </is>
      </c>
      <c r="L271" s="66" t="n"/>
    </row>
    <row r="272" ht="17" customHeight="1">
      <c r="A272" s="4" t="n">
        <v>269</v>
      </c>
      <c r="B272" s="4" t="inlineStr">
        <is>
          <t>NTF0501B-L</t>
        </is>
      </c>
      <c r="C272" s="4" t="inlineStr">
        <is>
          <t>NTF-0501B</t>
        </is>
      </c>
      <c r="D272" s="5" t="inlineStr">
        <is>
          <t>扭捏 仿醋酸蓝色一片式绑带蝴蝶结半身裙 拼接玫瑰蕾丝裙</t>
        </is>
      </c>
      <c r="E272" s="5" t="inlineStr">
        <is>
          <t>蓝色一片式半裙</t>
        </is>
      </c>
      <c r="F272" s="4" t="inlineStr">
        <is>
          <t>L</t>
        </is>
      </c>
      <c r="G272" s="6" t="n">
        <v>368</v>
      </c>
      <c r="H272" s="21" t="n">
        <v>7</v>
      </c>
      <c r="I272" s="58" t="n">
        <v>3</v>
      </c>
      <c r="J272" s="64">
        <f>MAX(I272-H272,0)</f>
        <v/>
      </c>
      <c r="K272" s="65" t="inlineStr">
        <is>
          <t>https://img.alicdn.com/bao/uploaded/i1/2217590670593/O1CN01ajY5uO1GFdpep88cl_!!2217590670593.jpg</t>
        </is>
      </c>
      <c r="L272" s="66" t="n"/>
    </row>
    <row r="273" ht="17" customHeight="1">
      <c r="A273" s="8" t="n">
        <v>270</v>
      </c>
      <c r="B273" s="8" t="inlineStr">
        <is>
          <t>NTF0501B-M</t>
        </is>
      </c>
      <c r="C273" s="8" t="inlineStr">
        <is>
          <t>NTF-0501B</t>
        </is>
      </c>
      <c r="D273" s="9" t="inlineStr">
        <is>
          <t>扭捏 仿醋酸蓝色一片式绑带蝴蝶结半身裙 拼接玫瑰蕾丝裙</t>
        </is>
      </c>
      <c r="E273" s="9" t="inlineStr">
        <is>
          <t>蓝色一片式半裙</t>
        </is>
      </c>
      <c r="F273" s="8" t="inlineStr">
        <is>
          <t>M</t>
        </is>
      </c>
      <c r="G273" s="10" t="n">
        <v>368</v>
      </c>
      <c r="H273" s="21" t="n">
        <v>15</v>
      </c>
      <c r="I273" s="58" t="n">
        <v>3</v>
      </c>
      <c r="J273" s="64">
        <f>MAX(I273-H273,0)</f>
        <v/>
      </c>
      <c r="K273" s="67" t="inlineStr">
        <is>
          <t>https://img.alicdn.com/bao/uploaded/i1/2217590670593/O1CN01ajY5uO1GFdpep88cl_!!2217590670593.jpg</t>
        </is>
      </c>
      <c r="L273" s="66" t="n"/>
    </row>
    <row r="274" ht="17" customHeight="1">
      <c r="A274" s="4" t="n">
        <v>271</v>
      </c>
      <c r="B274" s="4" t="inlineStr">
        <is>
          <t>NTF0501B-S</t>
        </is>
      </c>
      <c r="C274" s="4" t="inlineStr">
        <is>
          <t>NTF-0501B</t>
        </is>
      </c>
      <c r="D274" s="5" t="inlineStr">
        <is>
          <t>扭捏 仿醋酸蓝色一片式绑带蝴蝶结半身裙 拼接玫瑰蕾丝裙</t>
        </is>
      </c>
      <c r="E274" s="5" t="inlineStr">
        <is>
          <t>蓝色一片式半裙</t>
        </is>
      </c>
      <c r="F274" s="4" t="inlineStr">
        <is>
          <t>S</t>
        </is>
      </c>
      <c r="G274" s="6" t="n">
        <v>368</v>
      </c>
      <c r="H274" s="21" t="n">
        <v>11</v>
      </c>
      <c r="I274" s="58" t="n">
        <v>3</v>
      </c>
      <c r="J274" s="64">
        <f>MAX(I274-H274,0)</f>
        <v/>
      </c>
      <c r="K274" s="65" t="inlineStr">
        <is>
          <t>https://img.alicdn.com/bao/uploaded/i1/2217590670593/O1CN01ajY5uO1GFdpep88cl_!!2217590670593.jpg</t>
        </is>
      </c>
      <c r="L274" s="66" t="n"/>
    </row>
    <row r="275" ht="17" customHeight="1">
      <c r="A275" s="8" t="n">
        <v>272</v>
      </c>
      <c r="B275" s="8" t="inlineStr">
        <is>
          <t>NTF0509AG-L</t>
        </is>
      </c>
      <c r="C275" s="8" t="inlineStr">
        <is>
          <t>NTF-0509</t>
        </is>
      </c>
      <c r="D275" s="9" t="inlineStr">
        <is>
          <t>扭捏 绿色高密纸感棉 简约基础百搭白色拼接蕾丝背心吊带外穿上衣</t>
        </is>
      </c>
      <c r="E275" s="9" t="inlineStr">
        <is>
          <t>绿色纸感吊带【微弹】</t>
        </is>
      </c>
      <c r="F275" s="8" t="inlineStr">
        <is>
          <t>L</t>
        </is>
      </c>
      <c r="G275" s="10" t="n">
        <v>258</v>
      </c>
      <c r="H275" s="21" t="n">
        <v>4</v>
      </c>
      <c r="I275" s="58" t="n">
        <v>3</v>
      </c>
      <c r="J275" s="64">
        <f>MAX(I275-H275,0)</f>
        <v/>
      </c>
      <c r="K275" s="67" t="inlineStr">
        <is>
          <t>https://img.alicdn.com/bao/uploaded/i1/2217590670593/O1CN011L7dBF1GFdpiDXty9_!!2217590670593.jpg</t>
        </is>
      </c>
      <c r="L275" s="66" t="n"/>
    </row>
    <row r="276" ht="17" customHeight="1">
      <c r="A276" s="4" t="n">
        <v>273</v>
      </c>
      <c r="B276" s="4" t="inlineStr">
        <is>
          <t>NTF0509AG-M</t>
        </is>
      </c>
      <c r="C276" s="4" t="inlineStr">
        <is>
          <t>NTF-0509</t>
        </is>
      </c>
      <c r="D276" s="5" t="inlineStr">
        <is>
          <t>扭捏 绿色高密纸感棉 简约基础百搭白色拼接蕾丝背心吊带外穿上衣</t>
        </is>
      </c>
      <c r="E276" s="5" t="inlineStr">
        <is>
          <t>绿色纸感吊带【微弹】</t>
        </is>
      </c>
      <c r="F276" s="4" t="inlineStr">
        <is>
          <t>M</t>
        </is>
      </c>
      <c r="G276" s="6" t="n">
        <v>258</v>
      </c>
      <c r="H276" s="21" t="n">
        <v>0</v>
      </c>
      <c r="I276" s="58" t="n">
        <v>3</v>
      </c>
      <c r="J276" s="64">
        <f>MAX(I276-H276,0)</f>
        <v/>
      </c>
      <c r="K276" s="65" t="inlineStr">
        <is>
          <t>https://img.alicdn.com/bao/uploaded/i1/2217590670593/O1CN011L7dBF1GFdpiDXty9_!!2217590670593.jpg</t>
        </is>
      </c>
      <c r="L276" s="66" t="n"/>
    </row>
    <row r="277" ht="17" customHeight="1">
      <c r="A277" s="8" t="n">
        <v>274</v>
      </c>
      <c r="B277" s="8" t="inlineStr">
        <is>
          <t>NTF0509AG-S</t>
        </is>
      </c>
      <c r="C277" s="8" t="inlineStr">
        <is>
          <t>NTF-0509</t>
        </is>
      </c>
      <c r="D277" s="9" t="inlineStr">
        <is>
          <t>扭捏 绿色高密纸感棉 简约基础百搭白色拼接蕾丝背心吊带外穿上衣</t>
        </is>
      </c>
      <c r="E277" s="9" t="inlineStr">
        <is>
          <t>绿色纸感吊带【微弹】</t>
        </is>
      </c>
      <c r="F277" s="8" t="inlineStr">
        <is>
          <t>S</t>
        </is>
      </c>
      <c r="G277" s="10" t="n">
        <v>258</v>
      </c>
      <c r="H277" s="21" t="n">
        <v>2</v>
      </c>
      <c r="I277" s="58" t="n">
        <v>3</v>
      </c>
      <c r="J277" s="64">
        <f>MAX(I277-H277,0)</f>
        <v/>
      </c>
      <c r="K277" s="67" t="inlineStr">
        <is>
          <t>https://img.alicdn.com/bao/uploaded/i1/2217590670593/O1CN011L7dBF1GFdpiDXty9_!!2217590670593.jpg</t>
        </is>
      </c>
      <c r="L277" s="66" t="n"/>
    </row>
    <row r="278" ht="17" customHeight="1">
      <c r="A278" s="4" t="n">
        <v>275</v>
      </c>
      <c r="B278" s="4" t="inlineStr">
        <is>
          <t>NTF0509BW-L</t>
        </is>
      </c>
      <c r="C278" s="4" t="inlineStr">
        <is>
          <t>NTF-0509</t>
        </is>
      </c>
      <c r="D278" s="5" t="inlineStr">
        <is>
          <t>扭捏 绿色高密纸感棉 简约基础百搭白色拼接蕾丝背心吊带外穿上衣</t>
        </is>
      </c>
      <c r="E278" s="5" t="inlineStr">
        <is>
          <t>白色拼接蕾丝吊带【无弹】</t>
        </is>
      </c>
      <c r="F278" s="4" t="inlineStr">
        <is>
          <t>L</t>
        </is>
      </c>
      <c r="G278" s="6" t="n">
        <v>258</v>
      </c>
      <c r="H278" s="21" t="n">
        <v>4</v>
      </c>
      <c r="I278" s="58" t="n">
        <v>3</v>
      </c>
      <c r="J278" s="64">
        <f>MAX(I278-H278,0)</f>
        <v/>
      </c>
      <c r="K278" s="65" t="inlineStr">
        <is>
          <t>https://img.alicdn.com/bao/uploaded/i1/2217590670593/O1CN011L7dBF1GFdpiDXty9_!!2217590670593.jpg</t>
        </is>
      </c>
      <c r="L278" s="66" t="n"/>
    </row>
    <row r="279" ht="17" customHeight="1">
      <c r="A279" s="8" t="n">
        <v>276</v>
      </c>
      <c r="B279" s="8" t="inlineStr">
        <is>
          <t>NTF0509BW-M</t>
        </is>
      </c>
      <c r="C279" s="8" t="inlineStr">
        <is>
          <t>NTF-0509</t>
        </is>
      </c>
      <c r="D279" s="9" t="inlineStr">
        <is>
          <t>扭捏 绿色高密纸感棉 简约基础百搭白色拼接蕾丝背心吊带外穿上衣</t>
        </is>
      </c>
      <c r="E279" s="9" t="inlineStr">
        <is>
          <t>白色拼接蕾丝吊带【无弹】</t>
        </is>
      </c>
      <c r="F279" s="8" t="inlineStr">
        <is>
          <t>M</t>
        </is>
      </c>
      <c r="G279" s="10" t="n">
        <v>258</v>
      </c>
      <c r="H279" s="21" t="n">
        <v>0</v>
      </c>
      <c r="I279" s="58" t="n">
        <v>3</v>
      </c>
      <c r="J279" s="64">
        <f>MAX(I279-H279,0)</f>
        <v/>
      </c>
      <c r="K279" s="67" t="inlineStr">
        <is>
          <t>https://img.alicdn.com/bao/uploaded/i1/2217590670593/O1CN011L7dBF1GFdpiDXty9_!!2217590670593.jpg</t>
        </is>
      </c>
      <c r="L279" s="66" t="n"/>
    </row>
    <row r="280" ht="17" customHeight="1">
      <c r="A280" s="4" t="n">
        <v>277</v>
      </c>
      <c r="B280" s="4" t="inlineStr">
        <is>
          <t>NTF0509BW-S</t>
        </is>
      </c>
      <c r="C280" s="4" t="inlineStr">
        <is>
          <t>NTF-0509</t>
        </is>
      </c>
      <c r="D280" s="5" t="inlineStr">
        <is>
          <t>扭捏 绿色高密纸感棉 简约基础百搭白色拼接蕾丝背心吊带外穿上衣</t>
        </is>
      </c>
      <c r="E280" s="5" t="inlineStr">
        <is>
          <t>白色拼接蕾丝吊带【无弹】</t>
        </is>
      </c>
      <c r="F280" s="4" t="inlineStr">
        <is>
          <t>S</t>
        </is>
      </c>
      <c r="G280" s="6" t="n">
        <v>258</v>
      </c>
      <c r="H280" s="21" t="n">
        <v>0</v>
      </c>
      <c r="I280" s="58" t="n">
        <v>3</v>
      </c>
      <c r="J280" s="64">
        <f>MAX(I280-H280,0)</f>
        <v/>
      </c>
      <c r="K280" s="65" t="inlineStr">
        <is>
          <t>https://img.alicdn.com/bao/uploaded/i1/2217590670593/O1CN011L7dBF1GFdpiDXty9_!!2217590670593.jpg</t>
        </is>
      </c>
      <c r="L280" s="66" t="n"/>
    </row>
    <row r="282" ht="24" customHeight="1">
      <c r="A282" s="68" t="inlineStr">
        <is>
          <t>📦 需补货SKU总数</t>
        </is>
      </c>
      <c r="H282" s="69">
        <f>COUNTIF(J4:J280,"&gt;0")</f>
        <v/>
      </c>
    </row>
    <row r="283" ht="24" customHeight="1">
      <c r="A283" s="68" t="inlineStr">
        <is>
          <t>📦 补货总件数</t>
        </is>
      </c>
      <c r="H283" s="69">
        <f>SUM(J4:J280)</f>
        <v/>
      </c>
    </row>
  </sheetData>
  <autoFilter ref="A3:L280"/>
  <mergeCells count="4">
    <mergeCell ref="A2:K2"/>
    <mergeCell ref="A1:K1"/>
    <mergeCell ref="A282:G282"/>
    <mergeCell ref="A283:G283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K18" r:id="rId15"/>
    <hyperlink xmlns:r="http://schemas.openxmlformats.org/officeDocument/2006/relationships" ref="K19" r:id="rId16"/>
    <hyperlink xmlns:r="http://schemas.openxmlformats.org/officeDocument/2006/relationships" ref="K20" r:id="rId17"/>
    <hyperlink xmlns:r="http://schemas.openxmlformats.org/officeDocument/2006/relationships" ref="K21" r:id="rId18"/>
    <hyperlink xmlns:r="http://schemas.openxmlformats.org/officeDocument/2006/relationships" ref="K22" r:id="rId19"/>
    <hyperlink xmlns:r="http://schemas.openxmlformats.org/officeDocument/2006/relationships" ref="K23" r:id="rId20"/>
    <hyperlink xmlns:r="http://schemas.openxmlformats.org/officeDocument/2006/relationships" ref="K24" r:id="rId21"/>
    <hyperlink xmlns:r="http://schemas.openxmlformats.org/officeDocument/2006/relationships" ref="K25" r:id="rId22"/>
    <hyperlink xmlns:r="http://schemas.openxmlformats.org/officeDocument/2006/relationships" ref="K26" r:id="rId23"/>
    <hyperlink xmlns:r="http://schemas.openxmlformats.org/officeDocument/2006/relationships" ref="K27" r:id="rId24"/>
    <hyperlink xmlns:r="http://schemas.openxmlformats.org/officeDocument/2006/relationships" ref="K28" r:id="rId25"/>
    <hyperlink xmlns:r="http://schemas.openxmlformats.org/officeDocument/2006/relationships" ref="K29" r:id="rId26"/>
    <hyperlink xmlns:r="http://schemas.openxmlformats.org/officeDocument/2006/relationships" ref="K30" r:id="rId27"/>
    <hyperlink xmlns:r="http://schemas.openxmlformats.org/officeDocument/2006/relationships" ref="K31" r:id="rId28"/>
    <hyperlink xmlns:r="http://schemas.openxmlformats.org/officeDocument/2006/relationships" ref="K32" r:id="rId29"/>
    <hyperlink xmlns:r="http://schemas.openxmlformats.org/officeDocument/2006/relationships" ref="K33" r:id="rId30"/>
    <hyperlink xmlns:r="http://schemas.openxmlformats.org/officeDocument/2006/relationships" ref="K34" r:id="rId31"/>
    <hyperlink xmlns:r="http://schemas.openxmlformats.org/officeDocument/2006/relationships" ref="K35" r:id="rId32"/>
    <hyperlink xmlns:r="http://schemas.openxmlformats.org/officeDocument/2006/relationships" ref="K36" r:id="rId33"/>
    <hyperlink xmlns:r="http://schemas.openxmlformats.org/officeDocument/2006/relationships" ref="K37" r:id="rId34"/>
    <hyperlink xmlns:r="http://schemas.openxmlformats.org/officeDocument/2006/relationships" ref="K38" r:id="rId35"/>
    <hyperlink xmlns:r="http://schemas.openxmlformats.org/officeDocument/2006/relationships" ref="K39" r:id="rId36"/>
    <hyperlink xmlns:r="http://schemas.openxmlformats.org/officeDocument/2006/relationships" ref="K40" r:id="rId37"/>
    <hyperlink xmlns:r="http://schemas.openxmlformats.org/officeDocument/2006/relationships" ref="K41" r:id="rId38"/>
    <hyperlink xmlns:r="http://schemas.openxmlformats.org/officeDocument/2006/relationships" ref="K42" r:id="rId39"/>
    <hyperlink xmlns:r="http://schemas.openxmlformats.org/officeDocument/2006/relationships" ref="K43" r:id="rId40"/>
    <hyperlink xmlns:r="http://schemas.openxmlformats.org/officeDocument/2006/relationships" ref="K44" r:id="rId41"/>
    <hyperlink xmlns:r="http://schemas.openxmlformats.org/officeDocument/2006/relationships" ref="K45" r:id="rId42"/>
    <hyperlink xmlns:r="http://schemas.openxmlformats.org/officeDocument/2006/relationships" ref="K46" r:id="rId43"/>
    <hyperlink xmlns:r="http://schemas.openxmlformats.org/officeDocument/2006/relationships" ref="K47" r:id="rId44"/>
    <hyperlink xmlns:r="http://schemas.openxmlformats.org/officeDocument/2006/relationships" ref="K48" r:id="rId45"/>
    <hyperlink xmlns:r="http://schemas.openxmlformats.org/officeDocument/2006/relationships" ref="K49" r:id="rId46"/>
    <hyperlink xmlns:r="http://schemas.openxmlformats.org/officeDocument/2006/relationships" ref="K50" r:id="rId47"/>
    <hyperlink xmlns:r="http://schemas.openxmlformats.org/officeDocument/2006/relationships" ref="K51" r:id="rId48"/>
    <hyperlink xmlns:r="http://schemas.openxmlformats.org/officeDocument/2006/relationships" ref="K52" r:id="rId49"/>
    <hyperlink xmlns:r="http://schemas.openxmlformats.org/officeDocument/2006/relationships" ref="K53" r:id="rId50"/>
    <hyperlink xmlns:r="http://schemas.openxmlformats.org/officeDocument/2006/relationships" ref="K54" r:id="rId51"/>
    <hyperlink xmlns:r="http://schemas.openxmlformats.org/officeDocument/2006/relationships" ref="K55" r:id="rId52"/>
    <hyperlink xmlns:r="http://schemas.openxmlformats.org/officeDocument/2006/relationships" ref="K56" r:id="rId53"/>
    <hyperlink xmlns:r="http://schemas.openxmlformats.org/officeDocument/2006/relationships" ref="K57" r:id="rId54"/>
    <hyperlink xmlns:r="http://schemas.openxmlformats.org/officeDocument/2006/relationships" ref="K58" r:id="rId55"/>
    <hyperlink xmlns:r="http://schemas.openxmlformats.org/officeDocument/2006/relationships" ref="K59" r:id="rId56"/>
    <hyperlink xmlns:r="http://schemas.openxmlformats.org/officeDocument/2006/relationships" ref="K60" r:id="rId57"/>
    <hyperlink xmlns:r="http://schemas.openxmlformats.org/officeDocument/2006/relationships" ref="K61" r:id="rId58"/>
    <hyperlink xmlns:r="http://schemas.openxmlformats.org/officeDocument/2006/relationships" ref="K62" r:id="rId59"/>
    <hyperlink xmlns:r="http://schemas.openxmlformats.org/officeDocument/2006/relationships" ref="K63" r:id="rId60"/>
    <hyperlink xmlns:r="http://schemas.openxmlformats.org/officeDocument/2006/relationships" ref="K64" r:id="rId61"/>
    <hyperlink xmlns:r="http://schemas.openxmlformats.org/officeDocument/2006/relationships" ref="K65" r:id="rId62"/>
    <hyperlink xmlns:r="http://schemas.openxmlformats.org/officeDocument/2006/relationships" ref="K66" r:id="rId63"/>
    <hyperlink xmlns:r="http://schemas.openxmlformats.org/officeDocument/2006/relationships" ref="K67" r:id="rId64"/>
    <hyperlink xmlns:r="http://schemas.openxmlformats.org/officeDocument/2006/relationships" ref="K68" r:id="rId65"/>
    <hyperlink xmlns:r="http://schemas.openxmlformats.org/officeDocument/2006/relationships" ref="K69" r:id="rId66"/>
    <hyperlink xmlns:r="http://schemas.openxmlformats.org/officeDocument/2006/relationships" ref="K70" r:id="rId67"/>
    <hyperlink xmlns:r="http://schemas.openxmlformats.org/officeDocument/2006/relationships" ref="K71" r:id="rId68"/>
    <hyperlink xmlns:r="http://schemas.openxmlformats.org/officeDocument/2006/relationships" ref="K72" r:id="rId69"/>
    <hyperlink xmlns:r="http://schemas.openxmlformats.org/officeDocument/2006/relationships" ref="K73" r:id="rId70"/>
    <hyperlink xmlns:r="http://schemas.openxmlformats.org/officeDocument/2006/relationships" ref="K74" r:id="rId71"/>
    <hyperlink xmlns:r="http://schemas.openxmlformats.org/officeDocument/2006/relationships" ref="K75" r:id="rId72"/>
    <hyperlink xmlns:r="http://schemas.openxmlformats.org/officeDocument/2006/relationships" ref="K76" r:id="rId73"/>
    <hyperlink xmlns:r="http://schemas.openxmlformats.org/officeDocument/2006/relationships" ref="K77" r:id="rId74"/>
    <hyperlink xmlns:r="http://schemas.openxmlformats.org/officeDocument/2006/relationships" ref="K78" r:id="rId75"/>
    <hyperlink xmlns:r="http://schemas.openxmlformats.org/officeDocument/2006/relationships" ref="K79" r:id="rId76"/>
    <hyperlink xmlns:r="http://schemas.openxmlformats.org/officeDocument/2006/relationships" ref="K80" r:id="rId77"/>
    <hyperlink xmlns:r="http://schemas.openxmlformats.org/officeDocument/2006/relationships" ref="K81" r:id="rId78"/>
    <hyperlink xmlns:r="http://schemas.openxmlformats.org/officeDocument/2006/relationships" ref="K82" r:id="rId79"/>
    <hyperlink xmlns:r="http://schemas.openxmlformats.org/officeDocument/2006/relationships" ref="K83" r:id="rId80"/>
    <hyperlink xmlns:r="http://schemas.openxmlformats.org/officeDocument/2006/relationships" ref="K84" r:id="rId81"/>
    <hyperlink xmlns:r="http://schemas.openxmlformats.org/officeDocument/2006/relationships" ref="K85" r:id="rId82"/>
    <hyperlink xmlns:r="http://schemas.openxmlformats.org/officeDocument/2006/relationships" ref="K86" r:id="rId83"/>
    <hyperlink xmlns:r="http://schemas.openxmlformats.org/officeDocument/2006/relationships" ref="K87" r:id="rId84"/>
    <hyperlink xmlns:r="http://schemas.openxmlformats.org/officeDocument/2006/relationships" ref="K88" r:id="rId85"/>
    <hyperlink xmlns:r="http://schemas.openxmlformats.org/officeDocument/2006/relationships" ref="K89" r:id="rId86"/>
    <hyperlink xmlns:r="http://schemas.openxmlformats.org/officeDocument/2006/relationships" ref="K90" r:id="rId87"/>
    <hyperlink xmlns:r="http://schemas.openxmlformats.org/officeDocument/2006/relationships" ref="K91" r:id="rId88"/>
    <hyperlink xmlns:r="http://schemas.openxmlformats.org/officeDocument/2006/relationships" ref="K92" r:id="rId89"/>
    <hyperlink xmlns:r="http://schemas.openxmlformats.org/officeDocument/2006/relationships" ref="K93" r:id="rId90"/>
    <hyperlink xmlns:r="http://schemas.openxmlformats.org/officeDocument/2006/relationships" ref="K94" r:id="rId91"/>
    <hyperlink xmlns:r="http://schemas.openxmlformats.org/officeDocument/2006/relationships" ref="K95" r:id="rId92"/>
    <hyperlink xmlns:r="http://schemas.openxmlformats.org/officeDocument/2006/relationships" ref="K96" r:id="rId93"/>
    <hyperlink xmlns:r="http://schemas.openxmlformats.org/officeDocument/2006/relationships" ref="K97" r:id="rId94"/>
    <hyperlink xmlns:r="http://schemas.openxmlformats.org/officeDocument/2006/relationships" ref="K98" r:id="rId95"/>
    <hyperlink xmlns:r="http://schemas.openxmlformats.org/officeDocument/2006/relationships" ref="K99" r:id="rId96"/>
    <hyperlink xmlns:r="http://schemas.openxmlformats.org/officeDocument/2006/relationships" ref="K100" r:id="rId97"/>
    <hyperlink xmlns:r="http://schemas.openxmlformats.org/officeDocument/2006/relationships" ref="K101" r:id="rId98"/>
    <hyperlink xmlns:r="http://schemas.openxmlformats.org/officeDocument/2006/relationships" ref="K102" r:id="rId99"/>
    <hyperlink xmlns:r="http://schemas.openxmlformats.org/officeDocument/2006/relationships" ref="K103" r:id="rId100"/>
    <hyperlink xmlns:r="http://schemas.openxmlformats.org/officeDocument/2006/relationships" ref="K104" r:id="rId101"/>
    <hyperlink xmlns:r="http://schemas.openxmlformats.org/officeDocument/2006/relationships" ref="K105" r:id="rId102"/>
    <hyperlink xmlns:r="http://schemas.openxmlformats.org/officeDocument/2006/relationships" ref="K106" r:id="rId103"/>
    <hyperlink xmlns:r="http://schemas.openxmlformats.org/officeDocument/2006/relationships" ref="K107" r:id="rId104"/>
    <hyperlink xmlns:r="http://schemas.openxmlformats.org/officeDocument/2006/relationships" ref="K108" r:id="rId105"/>
    <hyperlink xmlns:r="http://schemas.openxmlformats.org/officeDocument/2006/relationships" ref="K109" r:id="rId106"/>
    <hyperlink xmlns:r="http://schemas.openxmlformats.org/officeDocument/2006/relationships" ref="K110" r:id="rId107"/>
    <hyperlink xmlns:r="http://schemas.openxmlformats.org/officeDocument/2006/relationships" ref="K111" r:id="rId108"/>
    <hyperlink xmlns:r="http://schemas.openxmlformats.org/officeDocument/2006/relationships" ref="K112" r:id="rId109"/>
    <hyperlink xmlns:r="http://schemas.openxmlformats.org/officeDocument/2006/relationships" ref="K113" r:id="rId110"/>
    <hyperlink xmlns:r="http://schemas.openxmlformats.org/officeDocument/2006/relationships" ref="K114" r:id="rId111"/>
    <hyperlink xmlns:r="http://schemas.openxmlformats.org/officeDocument/2006/relationships" ref="K115" r:id="rId112"/>
    <hyperlink xmlns:r="http://schemas.openxmlformats.org/officeDocument/2006/relationships" ref="K116" r:id="rId113"/>
    <hyperlink xmlns:r="http://schemas.openxmlformats.org/officeDocument/2006/relationships" ref="K117" r:id="rId114"/>
    <hyperlink xmlns:r="http://schemas.openxmlformats.org/officeDocument/2006/relationships" ref="K118" r:id="rId115"/>
    <hyperlink xmlns:r="http://schemas.openxmlformats.org/officeDocument/2006/relationships" ref="K119" r:id="rId116"/>
    <hyperlink xmlns:r="http://schemas.openxmlformats.org/officeDocument/2006/relationships" ref="K120" r:id="rId117"/>
    <hyperlink xmlns:r="http://schemas.openxmlformats.org/officeDocument/2006/relationships" ref="K121" r:id="rId118"/>
    <hyperlink xmlns:r="http://schemas.openxmlformats.org/officeDocument/2006/relationships" ref="K122" r:id="rId119"/>
    <hyperlink xmlns:r="http://schemas.openxmlformats.org/officeDocument/2006/relationships" ref="K123" r:id="rId120"/>
    <hyperlink xmlns:r="http://schemas.openxmlformats.org/officeDocument/2006/relationships" ref="K124" r:id="rId121"/>
    <hyperlink xmlns:r="http://schemas.openxmlformats.org/officeDocument/2006/relationships" ref="K125" r:id="rId122"/>
    <hyperlink xmlns:r="http://schemas.openxmlformats.org/officeDocument/2006/relationships" ref="K126" r:id="rId123"/>
    <hyperlink xmlns:r="http://schemas.openxmlformats.org/officeDocument/2006/relationships" ref="K127" r:id="rId124"/>
    <hyperlink xmlns:r="http://schemas.openxmlformats.org/officeDocument/2006/relationships" ref="K128" r:id="rId125"/>
    <hyperlink xmlns:r="http://schemas.openxmlformats.org/officeDocument/2006/relationships" ref="K129" r:id="rId126"/>
    <hyperlink xmlns:r="http://schemas.openxmlformats.org/officeDocument/2006/relationships" ref="K130" r:id="rId127"/>
    <hyperlink xmlns:r="http://schemas.openxmlformats.org/officeDocument/2006/relationships" ref="K131" r:id="rId128"/>
    <hyperlink xmlns:r="http://schemas.openxmlformats.org/officeDocument/2006/relationships" ref="K132" r:id="rId129"/>
    <hyperlink xmlns:r="http://schemas.openxmlformats.org/officeDocument/2006/relationships" ref="K133" r:id="rId130"/>
    <hyperlink xmlns:r="http://schemas.openxmlformats.org/officeDocument/2006/relationships" ref="K134" r:id="rId131"/>
    <hyperlink xmlns:r="http://schemas.openxmlformats.org/officeDocument/2006/relationships" ref="K135" r:id="rId132"/>
    <hyperlink xmlns:r="http://schemas.openxmlformats.org/officeDocument/2006/relationships" ref="K136" r:id="rId133"/>
    <hyperlink xmlns:r="http://schemas.openxmlformats.org/officeDocument/2006/relationships" ref="K137" r:id="rId134"/>
    <hyperlink xmlns:r="http://schemas.openxmlformats.org/officeDocument/2006/relationships" ref="K138" r:id="rId135"/>
    <hyperlink xmlns:r="http://schemas.openxmlformats.org/officeDocument/2006/relationships" ref="K139" r:id="rId136"/>
    <hyperlink xmlns:r="http://schemas.openxmlformats.org/officeDocument/2006/relationships" ref="K140" r:id="rId137"/>
    <hyperlink xmlns:r="http://schemas.openxmlformats.org/officeDocument/2006/relationships" ref="K141" r:id="rId138"/>
    <hyperlink xmlns:r="http://schemas.openxmlformats.org/officeDocument/2006/relationships" ref="K142" r:id="rId139"/>
    <hyperlink xmlns:r="http://schemas.openxmlformats.org/officeDocument/2006/relationships" ref="K143" r:id="rId140"/>
    <hyperlink xmlns:r="http://schemas.openxmlformats.org/officeDocument/2006/relationships" ref="K144" r:id="rId141"/>
    <hyperlink xmlns:r="http://schemas.openxmlformats.org/officeDocument/2006/relationships" ref="K145" r:id="rId142"/>
    <hyperlink xmlns:r="http://schemas.openxmlformats.org/officeDocument/2006/relationships" ref="K146" r:id="rId143"/>
    <hyperlink xmlns:r="http://schemas.openxmlformats.org/officeDocument/2006/relationships" ref="K147" r:id="rId144"/>
    <hyperlink xmlns:r="http://schemas.openxmlformats.org/officeDocument/2006/relationships" ref="K148" r:id="rId145"/>
    <hyperlink xmlns:r="http://schemas.openxmlformats.org/officeDocument/2006/relationships" ref="K149" r:id="rId146"/>
    <hyperlink xmlns:r="http://schemas.openxmlformats.org/officeDocument/2006/relationships" ref="K150" r:id="rId147"/>
    <hyperlink xmlns:r="http://schemas.openxmlformats.org/officeDocument/2006/relationships" ref="K151" r:id="rId148"/>
    <hyperlink xmlns:r="http://schemas.openxmlformats.org/officeDocument/2006/relationships" ref="K152" r:id="rId149"/>
    <hyperlink xmlns:r="http://schemas.openxmlformats.org/officeDocument/2006/relationships" ref="K153" r:id="rId150"/>
    <hyperlink xmlns:r="http://schemas.openxmlformats.org/officeDocument/2006/relationships" ref="K154" r:id="rId151"/>
    <hyperlink xmlns:r="http://schemas.openxmlformats.org/officeDocument/2006/relationships" ref="K155" r:id="rId152"/>
    <hyperlink xmlns:r="http://schemas.openxmlformats.org/officeDocument/2006/relationships" ref="K156" r:id="rId153"/>
    <hyperlink xmlns:r="http://schemas.openxmlformats.org/officeDocument/2006/relationships" ref="K157" r:id="rId154"/>
    <hyperlink xmlns:r="http://schemas.openxmlformats.org/officeDocument/2006/relationships" ref="K158" r:id="rId155"/>
    <hyperlink xmlns:r="http://schemas.openxmlformats.org/officeDocument/2006/relationships" ref="K159" r:id="rId156"/>
    <hyperlink xmlns:r="http://schemas.openxmlformats.org/officeDocument/2006/relationships" ref="K160" r:id="rId157"/>
    <hyperlink xmlns:r="http://schemas.openxmlformats.org/officeDocument/2006/relationships" ref="K161" r:id="rId158"/>
    <hyperlink xmlns:r="http://schemas.openxmlformats.org/officeDocument/2006/relationships" ref="K162" r:id="rId159"/>
    <hyperlink xmlns:r="http://schemas.openxmlformats.org/officeDocument/2006/relationships" ref="K163" r:id="rId160"/>
    <hyperlink xmlns:r="http://schemas.openxmlformats.org/officeDocument/2006/relationships" ref="K164" r:id="rId161"/>
    <hyperlink xmlns:r="http://schemas.openxmlformats.org/officeDocument/2006/relationships" ref="K165" r:id="rId162"/>
    <hyperlink xmlns:r="http://schemas.openxmlformats.org/officeDocument/2006/relationships" ref="K166" r:id="rId163"/>
    <hyperlink xmlns:r="http://schemas.openxmlformats.org/officeDocument/2006/relationships" ref="K167" r:id="rId164"/>
    <hyperlink xmlns:r="http://schemas.openxmlformats.org/officeDocument/2006/relationships" ref="K168" r:id="rId165"/>
    <hyperlink xmlns:r="http://schemas.openxmlformats.org/officeDocument/2006/relationships" ref="K169" r:id="rId166"/>
    <hyperlink xmlns:r="http://schemas.openxmlformats.org/officeDocument/2006/relationships" ref="K170" r:id="rId167"/>
    <hyperlink xmlns:r="http://schemas.openxmlformats.org/officeDocument/2006/relationships" ref="K171" r:id="rId168"/>
    <hyperlink xmlns:r="http://schemas.openxmlformats.org/officeDocument/2006/relationships" ref="K172" r:id="rId169"/>
    <hyperlink xmlns:r="http://schemas.openxmlformats.org/officeDocument/2006/relationships" ref="K173" r:id="rId170"/>
    <hyperlink xmlns:r="http://schemas.openxmlformats.org/officeDocument/2006/relationships" ref="K174" r:id="rId171"/>
    <hyperlink xmlns:r="http://schemas.openxmlformats.org/officeDocument/2006/relationships" ref="K175" r:id="rId172"/>
    <hyperlink xmlns:r="http://schemas.openxmlformats.org/officeDocument/2006/relationships" ref="K176" r:id="rId173"/>
    <hyperlink xmlns:r="http://schemas.openxmlformats.org/officeDocument/2006/relationships" ref="K177" r:id="rId174"/>
    <hyperlink xmlns:r="http://schemas.openxmlformats.org/officeDocument/2006/relationships" ref="K178" r:id="rId175"/>
    <hyperlink xmlns:r="http://schemas.openxmlformats.org/officeDocument/2006/relationships" ref="K179" r:id="rId176"/>
    <hyperlink xmlns:r="http://schemas.openxmlformats.org/officeDocument/2006/relationships" ref="K180" r:id="rId177"/>
    <hyperlink xmlns:r="http://schemas.openxmlformats.org/officeDocument/2006/relationships" ref="K181" r:id="rId178"/>
    <hyperlink xmlns:r="http://schemas.openxmlformats.org/officeDocument/2006/relationships" ref="K182" r:id="rId179"/>
    <hyperlink xmlns:r="http://schemas.openxmlformats.org/officeDocument/2006/relationships" ref="K183" r:id="rId180"/>
    <hyperlink xmlns:r="http://schemas.openxmlformats.org/officeDocument/2006/relationships" ref="K184" r:id="rId181"/>
    <hyperlink xmlns:r="http://schemas.openxmlformats.org/officeDocument/2006/relationships" ref="K185" r:id="rId182"/>
    <hyperlink xmlns:r="http://schemas.openxmlformats.org/officeDocument/2006/relationships" ref="K186" r:id="rId183"/>
    <hyperlink xmlns:r="http://schemas.openxmlformats.org/officeDocument/2006/relationships" ref="K187" r:id="rId184"/>
    <hyperlink xmlns:r="http://schemas.openxmlformats.org/officeDocument/2006/relationships" ref="K188" r:id="rId185"/>
    <hyperlink xmlns:r="http://schemas.openxmlformats.org/officeDocument/2006/relationships" ref="K189" r:id="rId186"/>
    <hyperlink xmlns:r="http://schemas.openxmlformats.org/officeDocument/2006/relationships" ref="K190" r:id="rId187"/>
    <hyperlink xmlns:r="http://schemas.openxmlformats.org/officeDocument/2006/relationships" ref="K191" r:id="rId188"/>
    <hyperlink xmlns:r="http://schemas.openxmlformats.org/officeDocument/2006/relationships" ref="K192" r:id="rId189"/>
    <hyperlink xmlns:r="http://schemas.openxmlformats.org/officeDocument/2006/relationships" ref="K193" r:id="rId190"/>
    <hyperlink xmlns:r="http://schemas.openxmlformats.org/officeDocument/2006/relationships" ref="K194" r:id="rId191"/>
    <hyperlink xmlns:r="http://schemas.openxmlformats.org/officeDocument/2006/relationships" ref="K195" r:id="rId192"/>
    <hyperlink xmlns:r="http://schemas.openxmlformats.org/officeDocument/2006/relationships" ref="K196" r:id="rId193"/>
    <hyperlink xmlns:r="http://schemas.openxmlformats.org/officeDocument/2006/relationships" ref="K197" r:id="rId194"/>
    <hyperlink xmlns:r="http://schemas.openxmlformats.org/officeDocument/2006/relationships" ref="K198" r:id="rId195"/>
    <hyperlink xmlns:r="http://schemas.openxmlformats.org/officeDocument/2006/relationships" ref="K199" r:id="rId196"/>
    <hyperlink xmlns:r="http://schemas.openxmlformats.org/officeDocument/2006/relationships" ref="K200" r:id="rId197"/>
    <hyperlink xmlns:r="http://schemas.openxmlformats.org/officeDocument/2006/relationships" ref="K201" r:id="rId198"/>
    <hyperlink xmlns:r="http://schemas.openxmlformats.org/officeDocument/2006/relationships" ref="K202" r:id="rId199"/>
    <hyperlink xmlns:r="http://schemas.openxmlformats.org/officeDocument/2006/relationships" ref="K203" r:id="rId200"/>
    <hyperlink xmlns:r="http://schemas.openxmlformats.org/officeDocument/2006/relationships" ref="K204" r:id="rId201"/>
    <hyperlink xmlns:r="http://schemas.openxmlformats.org/officeDocument/2006/relationships" ref="K205" r:id="rId202"/>
    <hyperlink xmlns:r="http://schemas.openxmlformats.org/officeDocument/2006/relationships" ref="K206" r:id="rId203"/>
    <hyperlink xmlns:r="http://schemas.openxmlformats.org/officeDocument/2006/relationships" ref="K207" r:id="rId204"/>
    <hyperlink xmlns:r="http://schemas.openxmlformats.org/officeDocument/2006/relationships" ref="K208" r:id="rId205"/>
    <hyperlink xmlns:r="http://schemas.openxmlformats.org/officeDocument/2006/relationships" ref="K209" r:id="rId206"/>
    <hyperlink xmlns:r="http://schemas.openxmlformats.org/officeDocument/2006/relationships" ref="K210" r:id="rId207"/>
    <hyperlink xmlns:r="http://schemas.openxmlformats.org/officeDocument/2006/relationships" ref="K211" r:id="rId208"/>
    <hyperlink xmlns:r="http://schemas.openxmlformats.org/officeDocument/2006/relationships" ref="K212" r:id="rId209"/>
    <hyperlink xmlns:r="http://schemas.openxmlformats.org/officeDocument/2006/relationships" ref="K213" r:id="rId210"/>
    <hyperlink xmlns:r="http://schemas.openxmlformats.org/officeDocument/2006/relationships" ref="K214" r:id="rId211"/>
    <hyperlink xmlns:r="http://schemas.openxmlformats.org/officeDocument/2006/relationships" ref="K215" r:id="rId212"/>
    <hyperlink xmlns:r="http://schemas.openxmlformats.org/officeDocument/2006/relationships" ref="K216" r:id="rId213"/>
    <hyperlink xmlns:r="http://schemas.openxmlformats.org/officeDocument/2006/relationships" ref="K217" r:id="rId214"/>
    <hyperlink xmlns:r="http://schemas.openxmlformats.org/officeDocument/2006/relationships" ref="K218" r:id="rId215"/>
    <hyperlink xmlns:r="http://schemas.openxmlformats.org/officeDocument/2006/relationships" ref="K219" r:id="rId216"/>
    <hyperlink xmlns:r="http://schemas.openxmlformats.org/officeDocument/2006/relationships" ref="K220" r:id="rId217"/>
    <hyperlink xmlns:r="http://schemas.openxmlformats.org/officeDocument/2006/relationships" ref="K221" r:id="rId218"/>
    <hyperlink xmlns:r="http://schemas.openxmlformats.org/officeDocument/2006/relationships" ref="K222" r:id="rId219"/>
    <hyperlink xmlns:r="http://schemas.openxmlformats.org/officeDocument/2006/relationships" ref="K223" r:id="rId220"/>
    <hyperlink xmlns:r="http://schemas.openxmlformats.org/officeDocument/2006/relationships" ref="K224" r:id="rId221"/>
    <hyperlink xmlns:r="http://schemas.openxmlformats.org/officeDocument/2006/relationships" ref="K225" r:id="rId222"/>
    <hyperlink xmlns:r="http://schemas.openxmlformats.org/officeDocument/2006/relationships" ref="K226" r:id="rId223"/>
    <hyperlink xmlns:r="http://schemas.openxmlformats.org/officeDocument/2006/relationships" ref="K227" r:id="rId224"/>
    <hyperlink xmlns:r="http://schemas.openxmlformats.org/officeDocument/2006/relationships" ref="K228" r:id="rId225"/>
    <hyperlink xmlns:r="http://schemas.openxmlformats.org/officeDocument/2006/relationships" ref="K229" r:id="rId226"/>
    <hyperlink xmlns:r="http://schemas.openxmlformats.org/officeDocument/2006/relationships" ref="K230" r:id="rId227"/>
    <hyperlink xmlns:r="http://schemas.openxmlformats.org/officeDocument/2006/relationships" ref="K231" r:id="rId228"/>
    <hyperlink xmlns:r="http://schemas.openxmlformats.org/officeDocument/2006/relationships" ref="K232" r:id="rId229"/>
    <hyperlink xmlns:r="http://schemas.openxmlformats.org/officeDocument/2006/relationships" ref="K233" r:id="rId230"/>
    <hyperlink xmlns:r="http://schemas.openxmlformats.org/officeDocument/2006/relationships" ref="K234" r:id="rId231"/>
    <hyperlink xmlns:r="http://schemas.openxmlformats.org/officeDocument/2006/relationships" ref="K235" r:id="rId232"/>
    <hyperlink xmlns:r="http://schemas.openxmlformats.org/officeDocument/2006/relationships" ref="K236" r:id="rId233"/>
    <hyperlink xmlns:r="http://schemas.openxmlformats.org/officeDocument/2006/relationships" ref="K237" r:id="rId234"/>
    <hyperlink xmlns:r="http://schemas.openxmlformats.org/officeDocument/2006/relationships" ref="K238" r:id="rId235"/>
    <hyperlink xmlns:r="http://schemas.openxmlformats.org/officeDocument/2006/relationships" ref="K239" r:id="rId236"/>
    <hyperlink xmlns:r="http://schemas.openxmlformats.org/officeDocument/2006/relationships" ref="K240" r:id="rId237"/>
    <hyperlink xmlns:r="http://schemas.openxmlformats.org/officeDocument/2006/relationships" ref="K241" r:id="rId238"/>
    <hyperlink xmlns:r="http://schemas.openxmlformats.org/officeDocument/2006/relationships" ref="K242" r:id="rId239"/>
    <hyperlink xmlns:r="http://schemas.openxmlformats.org/officeDocument/2006/relationships" ref="K243" r:id="rId240"/>
    <hyperlink xmlns:r="http://schemas.openxmlformats.org/officeDocument/2006/relationships" ref="K244" r:id="rId241"/>
    <hyperlink xmlns:r="http://schemas.openxmlformats.org/officeDocument/2006/relationships" ref="K245" r:id="rId242"/>
    <hyperlink xmlns:r="http://schemas.openxmlformats.org/officeDocument/2006/relationships" ref="K246" r:id="rId243"/>
    <hyperlink xmlns:r="http://schemas.openxmlformats.org/officeDocument/2006/relationships" ref="K247" r:id="rId244"/>
    <hyperlink xmlns:r="http://schemas.openxmlformats.org/officeDocument/2006/relationships" ref="K248" r:id="rId245"/>
    <hyperlink xmlns:r="http://schemas.openxmlformats.org/officeDocument/2006/relationships" ref="K249" r:id="rId246"/>
    <hyperlink xmlns:r="http://schemas.openxmlformats.org/officeDocument/2006/relationships" ref="K250" r:id="rId247"/>
    <hyperlink xmlns:r="http://schemas.openxmlformats.org/officeDocument/2006/relationships" ref="K251" r:id="rId248"/>
    <hyperlink xmlns:r="http://schemas.openxmlformats.org/officeDocument/2006/relationships" ref="K252" r:id="rId249"/>
    <hyperlink xmlns:r="http://schemas.openxmlformats.org/officeDocument/2006/relationships" ref="K253" r:id="rId250"/>
    <hyperlink xmlns:r="http://schemas.openxmlformats.org/officeDocument/2006/relationships" ref="K254" r:id="rId251"/>
    <hyperlink xmlns:r="http://schemas.openxmlformats.org/officeDocument/2006/relationships" ref="K255" r:id="rId252"/>
    <hyperlink xmlns:r="http://schemas.openxmlformats.org/officeDocument/2006/relationships" ref="K256" r:id="rId253"/>
    <hyperlink xmlns:r="http://schemas.openxmlformats.org/officeDocument/2006/relationships" ref="K257" r:id="rId254"/>
    <hyperlink xmlns:r="http://schemas.openxmlformats.org/officeDocument/2006/relationships" ref="K258" r:id="rId255"/>
    <hyperlink xmlns:r="http://schemas.openxmlformats.org/officeDocument/2006/relationships" ref="K259" r:id="rId256"/>
    <hyperlink xmlns:r="http://schemas.openxmlformats.org/officeDocument/2006/relationships" ref="K260" r:id="rId257"/>
    <hyperlink xmlns:r="http://schemas.openxmlformats.org/officeDocument/2006/relationships" ref="K261" r:id="rId258"/>
    <hyperlink xmlns:r="http://schemas.openxmlformats.org/officeDocument/2006/relationships" ref="K262" r:id="rId259"/>
    <hyperlink xmlns:r="http://schemas.openxmlformats.org/officeDocument/2006/relationships" ref="K263" r:id="rId260"/>
    <hyperlink xmlns:r="http://schemas.openxmlformats.org/officeDocument/2006/relationships" ref="K264" r:id="rId261"/>
    <hyperlink xmlns:r="http://schemas.openxmlformats.org/officeDocument/2006/relationships" ref="K265" r:id="rId262"/>
    <hyperlink xmlns:r="http://schemas.openxmlformats.org/officeDocument/2006/relationships" ref="K266" r:id="rId263"/>
    <hyperlink xmlns:r="http://schemas.openxmlformats.org/officeDocument/2006/relationships" ref="K267" r:id="rId264"/>
    <hyperlink xmlns:r="http://schemas.openxmlformats.org/officeDocument/2006/relationships" ref="K268" r:id="rId265"/>
    <hyperlink xmlns:r="http://schemas.openxmlformats.org/officeDocument/2006/relationships" ref="K269" r:id="rId266"/>
    <hyperlink xmlns:r="http://schemas.openxmlformats.org/officeDocument/2006/relationships" ref="K270" r:id="rId267"/>
    <hyperlink xmlns:r="http://schemas.openxmlformats.org/officeDocument/2006/relationships" ref="K271" r:id="rId268"/>
    <hyperlink xmlns:r="http://schemas.openxmlformats.org/officeDocument/2006/relationships" ref="K272" r:id="rId269"/>
    <hyperlink xmlns:r="http://schemas.openxmlformats.org/officeDocument/2006/relationships" ref="K273" r:id="rId270"/>
    <hyperlink xmlns:r="http://schemas.openxmlformats.org/officeDocument/2006/relationships" ref="K274" r:id="rId271"/>
    <hyperlink xmlns:r="http://schemas.openxmlformats.org/officeDocument/2006/relationships" ref="K275" r:id="rId272"/>
    <hyperlink xmlns:r="http://schemas.openxmlformats.org/officeDocument/2006/relationships" ref="K276" r:id="rId273"/>
    <hyperlink xmlns:r="http://schemas.openxmlformats.org/officeDocument/2006/relationships" ref="K277" r:id="rId274"/>
    <hyperlink xmlns:r="http://schemas.openxmlformats.org/officeDocument/2006/relationships" ref="K278" r:id="rId275"/>
    <hyperlink xmlns:r="http://schemas.openxmlformats.org/officeDocument/2006/relationships" ref="K279" r:id="rId276"/>
    <hyperlink xmlns:r="http://schemas.openxmlformats.org/officeDocument/2006/relationships" ref="K280" r:id="rId2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2026-04-07T13:30:53Z</dcterms:created>
  <dcterms:modified xsi:type="dcterms:W3CDTF">2026-04-07T13:30:55Z</dcterms:modified>
</cp:coreProperties>
</file>